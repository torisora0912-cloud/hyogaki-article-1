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説明・定義" sheetId="1" state="visible" r:id="rId3"/>
    <sheet name="集計ルール（定義B）" sheetId="2" state="visible" r:id="rId4"/>
    <sheet name="クロール対象" sheetId="3" state="visible" r:id="rId5"/>
    <sheet name="集計B" sheetId="4" state="visible" r:id="rId6"/>
    <sheet name="常設サイト存在マップ(撤回参考)" sheetId="5" state="visible" r:id="rId7"/>
    <sheet name="集計" sheetId="6" state="visible" r:id="rId8"/>
    <sheet name="収集ログ" sheetId="7" state="visible" r:id="rId9"/>
    <sheet name="検索クエリ" sheetId="8" state="visible" r:id="rId10"/>
    <sheet name="6-13以降カバレッジ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<sst xmlns="http://schemas.openxmlformats.org/spreadsheetml/2006/main" count="2089" uniqueCount="726">
  <si>
    <t xml:space="preserve">就職氷河期世代支援 告知件数 収集テンプレート（狭義・広義 両カウント版）</t>
  </si>
  <si>
    <t xml:space="preserve">対象期間</t>
  </si>
  <si>
    <r>
      <rPr>
        <sz val="11"/>
        <rFont val="Meiryo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Meiryo"/>
        <family val="0"/>
        <charset val="1"/>
      </rPr>
      <t xml:space="preserve">4</t>
    </r>
    <r>
      <rPr>
        <sz val="11"/>
        <rFont val="Noto Sans CJK SC"/>
        <family val="2"/>
      </rPr>
      <t xml:space="preserve">月</t>
    </r>
    <r>
      <rPr>
        <sz val="11"/>
        <rFont val="Meiryo"/>
        <family val="0"/>
        <charset val="1"/>
      </rPr>
      <t xml:space="preserve">10</t>
    </r>
    <r>
      <rPr>
        <sz val="11"/>
        <rFont val="Noto Sans CJK SC"/>
        <family val="2"/>
      </rPr>
      <t xml:space="preserve">日（高市政権の支援プログラム決定・首相指示）〜 </t>
    </r>
    <r>
      <rPr>
        <sz val="11"/>
        <rFont val="Meiryo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Meiryo"/>
        <family val="0"/>
        <charset val="1"/>
      </rPr>
      <t xml:space="preserve">6</t>
    </r>
    <r>
      <rPr>
        <sz val="11"/>
        <rFont val="Noto Sans CJK SC"/>
        <family val="2"/>
      </rPr>
      <t xml:space="preserve">月</t>
    </r>
    <r>
      <rPr>
        <sz val="11"/>
        <rFont val="Meiryo"/>
        <family val="0"/>
        <charset val="1"/>
      </rPr>
      <t xml:space="preserve">30</t>
    </r>
    <r>
      <rPr>
        <sz val="11"/>
        <rFont val="Noto Sans CJK SC"/>
        <family val="2"/>
      </rPr>
      <t xml:space="preserve">日</t>
    </r>
  </si>
  <si>
    <t xml:space="preserve">【重要：呼称変更】</t>
  </si>
  <si>
    <t xml:space="preserve">骨太方針2024を受け、令和7年4月から国の施策は『就職氷河期世代を含む中高年世代（概ね35〜59歳）』へ対象拡大。多くの自治体・労働局がプラットフォームを『中高年活躍応援プロジェクト協議会』へ改組し、『氷河期』の語が表に出ないケースが増加。→ 件数は定義依存。</t>
  </si>
  <si>
    <t xml:space="preserve">狭義カウント</t>
  </si>
  <si>
    <t xml:space="preserve">告知に『就職氷河期（世代）』が明記されているもの。</t>
  </si>
  <si>
    <t xml:space="preserve">広義カウント</t>
  </si>
  <si>
    <t xml:space="preserve">狭義＋『ミドル/中高年/ミドルシニア活躍』等、旧氷河期支援を引き継ぐ告知を含む（狭義を内包＝合計）。</t>
  </si>
  <si>
    <t xml:space="preserve">【告知の定義】</t>
  </si>
  <si>
    <t xml:space="preserve">就職氷河期/中高年支援に関し、自治体・労働局等が新たに行った周知・募集・案内1件を1カウント。</t>
  </si>
  <si>
    <t xml:space="preserve">カウントしない例</t>
  </si>
  <si>
    <t xml:space="preserve">常設ページの軽微更新、前年度分の再掲、国の全国一律告知（主体区分『国（全国）』で別記録し県別集計に計上しない）。</t>
  </si>
  <si>
    <t xml:space="preserve">【シート】</t>
  </si>
  <si>
    <t xml:space="preserve">① クロール対象（47県確定URL）→ ② 収集ログ（区分:狭義/広義を選択、告知日を入れると期間内自動判定）→ ③ 集計（県別に狭義件数・広義件数を自動算出）→ ④ 検索クエリ</t>
  </si>
  <si>
    <t xml:space="preserve">【出典】</t>
  </si>
  <si>
    <t xml:space="preserve">起点</t>
  </si>
  <si>
    <r>
      <rPr>
        <sz val="11"/>
        <rFont val="Meiryo"/>
        <family val="0"/>
        <charset val="1"/>
      </rPr>
      <t xml:space="preserve">2026/4/10 </t>
    </r>
    <r>
      <rPr>
        <sz val="11"/>
        <rFont val="Noto Sans CJK SC"/>
        <family val="2"/>
      </rPr>
      <t xml:space="preserve">関係閣僚会議で新プログラム決定、高市首相が関係閣僚に全力対応を指示</t>
    </r>
  </si>
  <si>
    <t xml:space="preserve">呼称変更の根拠例</t>
  </si>
  <si>
    <t xml:space="preserve">京都労働局・大阪府・神奈川県・群馬県の各支援ページ（令和7年4月〜中高年世代へ拡大／協議会へ改組）</t>
  </si>
  <si>
    <r>
      <rPr>
        <b val="true"/>
        <sz val="11"/>
        <rFont val="Meiryo"/>
        <family val="0"/>
        <charset val="1"/>
      </rPr>
      <t xml:space="preserve">47</t>
    </r>
    <r>
      <rPr>
        <b val="true"/>
        <sz val="11"/>
        <rFont val="Noto Sans CJK SC"/>
        <family val="2"/>
      </rPr>
      <t xml:space="preserve">県公式</t>
    </r>
    <r>
      <rPr>
        <b val="true"/>
        <sz val="11"/>
        <rFont val="Meiryo"/>
        <family val="0"/>
        <charset val="1"/>
      </rPr>
      <t xml:space="preserve">URL</t>
    </r>
  </si>
  <si>
    <t xml:space="preserve">北海道庁『47都道府県』リンク集より取得</t>
  </si>
  <si>
    <t xml:space="preserve">注意</t>
  </si>
  <si>
    <t xml:space="preserve">検索のみでは網羅性・日付確定は保証されない。確定URLを開いて掲載日と対象を確認のこと。</t>
  </si>
  <si>
    <t xml:space="preserve">集計ルール（定義B：氷河期／中高年に言及する自治体発信すべてを対象）</t>
  </si>
  <si>
    <t xml:space="preserve">対象範囲（定義B）</t>
  </si>
  <si>
    <t xml:space="preserve">就職氷河期世代／中高年（ミドル・ミドルシニア）に言及する都道府県・政令市・労働局・県設置支援センター等の公的発信すべて。セミナー/説明会/相談会に加え、採用試験（氷河期枠）、企画提案公募・委託、企業向け助成金、協議会開催の報道発表を含む。</t>
  </si>
  <si>
    <t xml:space="preserve">狭義／広義</t>
  </si>
  <si>
    <t xml:space="preserve">狭義＝「就職氷河期（世代）」を明示。広義＝氷河期を含む「中高年/ミドル/ミドルシニア」表記を含む（狭義を包含）。</t>
  </si>
  <si>
    <t xml:space="preserve">告知日の定義</t>
  </si>
  <si>
    <t xml:space="preserve">機関がその情報を新規／更新として掲載した日（＝掲載日）のみ。開催日・締切日・アラート取得日は告知日にしない。</t>
  </si>
  <si>
    <t xml:space="preserve">開催日（別列）</t>
  </si>
  <si>
    <t xml:space="preserve">イベントの実施日は「開催日」列に分離。集計には使わない（掲載日ベースで数える）。</t>
  </si>
  <si>
    <t xml:space="preserve">確度A</t>
  </si>
  <si>
    <t xml:space="preserve">掲載日をページ本体または報道発表で直接確認。→集計に計上。</t>
  </si>
  <si>
    <t xml:space="preserve">確度B</t>
  </si>
  <si>
    <t xml:space="preserve">新着一覧・更新履歴等で掲載日を間接確認。→集計に計上。</t>
  </si>
  <si>
    <t xml:space="preserve">確度C</t>
  </si>
  <si>
    <t xml:space="preserve">掲載日を確認できない（アラート取得日のみ／開催日のみ／常設ページ／要確認）。→告知日は空欄・未計上。別掲「要精査」。</t>
  </si>
  <si>
    <t xml:space="preserve">計上ルール</t>
  </si>
  <si>
    <t xml:space="preserve">確度A・Bのみを集計（期間内フラグ＝告知日が4/10〜6/30内で1）。確度Cは件数に入れず要精査として保持。</t>
  </si>
  <si>
    <t xml:space="preserve">二重計上の回避</t>
  </si>
  <si>
    <t xml:space="preserve">同一告知が案内する複数イベントは1件。常設ページの通常更新は新規告知としない。</t>
  </si>
  <si>
    <t xml:space="preserve">出所の記録</t>
  </si>
  <si>
    <t xml:space="preserve">各行に出所（Web巡回／Googleアラート）を記録。手法によるジャンル捕捉の偏りを可視化するため。</t>
  </si>
  <si>
    <t xml:space="preserve">既知のカバレッジ限界</t>
  </si>
  <si>
    <r>
      <rPr>
        <sz val="10"/>
        <color rgb="FF000000"/>
        <rFont val="Meiryo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巡回はセミナー系に強く、採用試験・公募・助成の捕捉が弱い。</t>
    </r>
    <r>
      <rPr>
        <sz val="10"/>
        <color rgb="FF000000"/>
        <rFont val="Meiryo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アラートは採用試験系に強い。→両者を統合しても密度は不均一。本集計は「掲載日を確定できた下限」であり、特に採用試験カテゴリは系統的な悉皆調査が未完了。</t>
    </r>
  </si>
  <si>
    <r>
      <rPr>
        <b val="true"/>
        <sz val="11"/>
        <rFont val="Meiryo"/>
        <family val="0"/>
        <charset val="1"/>
      </rPr>
      <t xml:space="preserve">C2</t>
    </r>
    <r>
      <rPr>
        <b val="true"/>
        <sz val="11"/>
        <rFont val="Noto Sans CJK SC"/>
        <family val="2"/>
      </rPr>
      <t xml:space="preserve">の重要背景</t>
    </r>
  </si>
  <si>
    <t xml:space="preserve">地域就職氷河期世代支援加速化交付金は令和6年度で事業終了。令和7年4月1日より内閣府「共生・共助」へ移管（内閣府サイト・令和8年6月1日更新）。よってC2（交付金ベースの企画提案公募）は令和8年度は原則存在せず、青森・兵庫等の県独自/移行事業が例外。C2悉皆は「原則終了＋例外」で締め。</t>
  </si>
  <si>
    <r>
      <rPr>
        <b val="true"/>
        <sz val="11"/>
        <rFont val="Meiryo"/>
        <family val="0"/>
        <charset val="1"/>
      </rPr>
      <t xml:space="preserve">C6</t>
    </r>
    <r>
      <rPr>
        <b val="true"/>
        <sz val="11"/>
        <rFont val="Noto Sans CJK SC"/>
        <family val="2"/>
      </rPr>
      <t xml:space="preserve">の重要背景</t>
    </r>
  </si>
  <si>
    <t xml:space="preserve">「中高年世代活躍応援プロジェクト（旧氷河期PF）」は厚労省・各都道府県労働局の委託事業。名称変更・協議会改組・実施計画策定は令和7年度（2025）に全国一律で完了。委託先公募（入札）は3月公告が多く期間外。よってC6の令和8年度4-6月の期間内新規発信は限定的（栃木6/22協議会開催報道が数少ない例）。C6は「令和7年度に改組一巡・期間内新規は僅少」で締め。</t>
  </si>
  <si>
    <r>
      <rPr>
        <b val="true"/>
        <sz val="11"/>
        <rFont val="Meiryo"/>
        <family val="0"/>
        <charset val="1"/>
      </rPr>
      <t xml:space="preserve">C3</t>
    </r>
    <r>
      <rPr>
        <b val="true"/>
        <sz val="11"/>
        <rFont val="Noto Sans CJK SC"/>
        <family val="2"/>
      </rPr>
      <t xml:space="preserve">の重要背景</t>
    </r>
  </si>
  <si>
    <t xml:space="preserve">国の主力助成金「特定求職者雇用開発助成金 就職氷河期世代安定雇用実現コース」は令和7年4月より「中高年層安定雇用支援コース」へ改称（厚労省）。ここでも氷河期→中高年の名称架け替え。都道府県独自の氷河期助成は東京都「就職氷河期世代等安定就業サポート助成金」（R8・5/1受付）が代表例で他県は稀。</t>
  </si>
  <si>
    <r>
      <rPr>
        <b val="true"/>
        <sz val="11"/>
        <rFont val="Meiryo"/>
        <family val="0"/>
        <charset val="1"/>
      </rPr>
      <t xml:space="preserve">C1</t>
    </r>
    <r>
      <rPr>
        <b val="true"/>
        <sz val="11"/>
        <rFont val="Noto Sans CJK SC"/>
        <family val="2"/>
      </rPr>
      <t xml:space="preserve">実施県数の主指標</t>
    </r>
  </si>
  <si>
    <t xml:space="preserve">「氷河期採用の実施都道府県数」は総務省の悉皆調査（令和6年度実績）を主指標とする＝氷河期限定の中途採用を実施した都道府県は28（実施率59.6%）、受験可能まで広げると46（97.9%）。当方の県別一次確認（R8確定・継続可能性）は令和8年度分の裏取りとして補助的に併記。二次求人サイト（KoumuWIN!/公務in等）は年度が古く件数も不一致のため数値には不採用。</t>
  </si>
  <si>
    <t xml:space="preserve">都道府県</t>
  </si>
  <si>
    <t xml:space="preserve">公式サイト（確定）</t>
  </si>
  <si>
    <t xml:space="preserve">県サイト内『就職氷河期』検索</t>
  </si>
  <si>
    <t xml:space="preserve">県 報道発表/お知らせ 検索</t>
  </si>
  <si>
    <t xml:space="preserve">管轄労働局・ハローワーク 検索</t>
  </si>
  <si>
    <t xml:space="preserve">告知ページ確定URL（記入欄）</t>
  </si>
  <si>
    <t xml:space="preserve">備考</t>
  </si>
  <si>
    <t xml:space="preserve">北海道</t>
  </si>
  <si>
    <t xml:space="preserve">https://www.pref.hokkaido.lg.jp/</t>
  </si>
  <si>
    <t xml:space="preserve">site:pref.hokkaido.lg.jp 就職氷河期</t>
  </si>
  <si>
    <t xml:space="preserve">報道発表内を検索</t>
  </si>
  <si>
    <t xml:space="preserve">労働局/HWを検索</t>
  </si>
  <si>
    <t xml:space="preserve">青森県</t>
  </si>
  <si>
    <t xml:space="preserve">https://www.pref.aomori.lg.jp/</t>
  </si>
  <si>
    <t xml:space="preserve">site:pref.aomori.lg.jp 就職氷河期</t>
  </si>
  <si>
    <t xml:space="preserve">岩手県</t>
  </si>
  <si>
    <t xml:space="preserve">https://www.pref.iwate.jp/</t>
  </si>
  <si>
    <t xml:space="preserve">site:pref.iwate.jp 就職氷河期</t>
  </si>
  <si>
    <t xml:space="preserve">宮城県</t>
  </si>
  <si>
    <t xml:space="preserve">https://www.pref.miyagi.jp/</t>
  </si>
  <si>
    <t xml:space="preserve">site:pref.miyagi.jp 就職氷河期</t>
  </si>
  <si>
    <t xml:space="preserve">秋田県</t>
  </si>
  <si>
    <t xml:space="preserve">https://www.pref.akita.lg.jp/</t>
  </si>
  <si>
    <t xml:space="preserve">site:pref.akita.lg.jp 就職氷河期</t>
  </si>
  <si>
    <t xml:space="preserve">山形県</t>
  </si>
  <si>
    <t xml:space="preserve">https://www.pref.yamagata.jp/</t>
  </si>
  <si>
    <t xml:space="preserve">site:pref.yamagata.jp 就職氷河期</t>
  </si>
  <si>
    <t xml:space="preserve">福島県</t>
  </si>
  <si>
    <t xml:space="preserve">https://www.pref.fukushima.lg.jp/</t>
  </si>
  <si>
    <t xml:space="preserve">site:pref.fukushima.lg.jp 就職氷河期</t>
  </si>
  <si>
    <t xml:space="preserve">茨城県</t>
  </si>
  <si>
    <t xml:space="preserve">https://www.pref.ibaraki.jp/</t>
  </si>
  <si>
    <t xml:space="preserve">site:pref.ibaraki.jp 就職氷河期</t>
  </si>
  <si>
    <t xml:space="preserve">栃木県</t>
  </si>
  <si>
    <t xml:space="preserve">https://www.pref.tochigi.lg.jp/</t>
  </si>
  <si>
    <t xml:space="preserve">site:pref.tochigi.lg.jp 就職氷河期</t>
  </si>
  <si>
    <t xml:space="preserve">群馬県</t>
  </si>
  <si>
    <t xml:space="preserve">https://www.pref.gunma.jp/</t>
  </si>
  <si>
    <t xml:space="preserve">site:pref.gunma.jp 就職氷河期</t>
  </si>
  <si>
    <t xml:space="preserve">埼玉県</t>
  </si>
  <si>
    <t xml:space="preserve">https://www.pref.saitama.lg.jp/</t>
  </si>
  <si>
    <t xml:space="preserve">site:pref.saitama.lg.jp 就職氷河期</t>
  </si>
  <si>
    <t xml:space="preserve">千葉県</t>
  </si>
  <si>
    <t xml:space="preserve">https://www.pref.chiba.lg.jp/</t>
  </si>
  <si>
    <t xml:space="preserve">site:pref.chiba.lg.jp 就職氷河期</t>
  </si>
  <si>
    <t xml:space="preserve">東京都</t>
  </si>
  <si>
    <t xml:space="preserve">https://www.metro.tokyo.lg.jp/</t>
  </si>
  <si>
    <t xml:space="preserve">site:metro.tokyo.lg.jp 就職氷河期</t>
  </si>
  <si>
    <t xml:space="preserve">神奈川県</t>
  </si>
  <si>
    <t xml:space="preserve">https://www.pref.kanagawa.jp/</t>
  </si>
  <si>
    <t xml:space="preserve">site:pref.kanagawa.jp 就職氷河期</t>
  </si>
  <si>
    <t xml:space="preserve">新潟県</t>
  </si>
  <si>
    <t xml:space="preserve">https://www.pref.niigata.lg.jp/</t>
  </si>
  <si>
    <t xml:space="preserve">site:pref.niigata.lg.jp 就職氷河期</t>
  </si>
  <si>
    <t xml:space="preserve">富山県</t>
  </si>
  <si>
    <t xml:space="preserve">https://www.pref.toyama.jp/</t>
  </si>
  <si>
    <t xml:space="preserve">site:pref.toyama.jp 就職氷河期</t>
  </si>
  <si>
    <t xml:space="preserve">石川県</t>
  </si>
  <si>
    <t xml:space="preserve">https://www.pref.ishikawa.lg.jp/</t>
  </si>
  <si>
    <t xml:space="preserve">site:pref.ishikawa.lg.jp 就職氷河期</t>
  </si>
  <si>
    <t xml:space="preserve">福井県</t>
  </si>
  <si>
    <t xml:space="preserve">https://www.pref.fukui.lg.jp/</t>
  </si>
  <si>
    <t xml:space="preserve">site:pref.fukui.lg.jp 就職氷河期</t>
  </si>
  <si>
    <t xml:space="preserve">山梨県</t>
  </si>
  <si>
    <t xml:space="preserve">https://www.pref.yamanashi.jp/</t>
  </si>
  <si>
    <t xml:space="preserve">site:pref.yamanashi.jp 就職氷河期</t>
  </si>
  <si>
    <t xml:space="preserve">長野県</t>
  </si>
  <si>
    <t xml:space="preserve">https://www.pref.nagano.lg.jp/</t>
  </si>
  <si>
    <t xml:space="preserve">site:pref.nagano.lg.jp 就職氷河期</t>
  </si>
  <si>
    <t xml:space="preserve">岐阜県</t>
  </si>
  <si>
    <t xml:space="preserve">https://www.pref.gifu.lg.jp/</t>
  </si>
  <si>
    <t xml:space="preserve">site:pref.gifu.lg.jp 就職氷河期</t>
  </si>
  <si>
    <t xml:space="preserve">静岡県</t>
  </si>
  <si>
    <t xml:space="preserve">https://www.pref.shizuoka.jp/</t>
  </si>
  <si>
    <t xml:space="preserve">site:pref.shizuoka.jp 就職氷河期</t>
  </si>
  <si>
    <t xml:space="preserve">愛知県</t>
  </si>
  <si>
    <t xml:space="preserve">https://www.pref.aichi.jp/</t>
  </si>
  <si>
    <t xml:space="preserve">site:pref.aichi.jp 就職氷河期</t>
  </si>
  <si>
    <t xml:space="preserve">三重県</t>
  </si>
  <si>
    <t xml:space="preserve">https://www.pref.mie.lg.jp/</t>
  </si>
  <si>
    <t xml:space="preserve">site:pref.mie.lg.jp 就職氷河期</t>
  </si>
  <si>
    <t xml:space="preserve">滋賀県</t>
  </si>
  <si>
    <t xml:space="preserve">https://www.pref.shiga.lg.jp/</t>
  </si>
  <si>
    <t xml:space="preserve">site:pref.shiga.lg.jp 就職氷河期</t>
  </si>
  <si>
    <t xml:space="preserve">京都府</t>
  </si>
  <si>
    <t xml:space="preserve">https://www.pref.kyoto.jp/</t>
  </si>
  <si>
    <t xml:space="preserve">site:pref.kyoto.jp 就職氷河期</t>
  </si>
  <si>
    <t xml:space="preserve">大阪府</t>
  </si>
  <si>
    <t xml:space="preserve">https://www.pref.osaka.lg.jp/</t>
  </si>
  <si>
    <t xml:space="preserve">site:pref.osaka.lg.jp 就職氷河期</t>
  </si>
  <si>
    <t xml:space="preserve">兵庫県</t>
  </si>
  <si>
    <t xml:space="preserve">https://web.pref.hyogo.lg.jp/</t>
  </si>
  <si>
    <t xml:space="preserve">site:pref.hyogo.lg.jp 就職氷河期</t>
  </si>
  <si>
    <t xml:space="preserve">奈良県</t>
  </si>
  <si>
    <t xml:space="preserve">https://www.pref.nara.jp/</t>
  </si>
  <si>
    <t xml:space="preserve">site:pref.nara.jp 就職氷河期</t>
  </si>
  <si>
    <t xml:space="preserve">和歌山県</t>
  </si>
  <si>
    <t xml:space="preserve">https://www.pref.wakayama.lg.jp/</t>
  </si>
  <si>
    <t xml:space="preserve">site:pref.wakayama.lg.jp 就職氷河期</t>
  </si>
  <si>
    <t xml:space="preserve">鳥取県</t>
  </si>
  <si>
    <t xml:space="preserve">https://www.pref.tottori.lg.jp/</t>
  </si>
  <si>
    <t xml:space="preserve">site:pref.tottori.lg.jp 就職氷河期</t>
  </si>
  <si>
    <t xml:space="preserve">島根県</t>
  </si>
  <si>
    <t xml:space="preserve">https://www.pref.shimane.lg.jp/</t>
  </si>
  <si>
    <t xml:space="preserve">site:pref.shimane.lg.jp 就職氷河期</t>
  </si>
  <si>
    <t xml:space="preserve">岡山県</t>
  </si>
  <si>
    <t xml:space="preserve">https://www.pref.okayama.jp/</t>
  </si>
  <si>
    <t xml:space="preserve">site:pref.okayama.jp 就職氷河期</t>
  </si>
  <si>
    <t xml:space="preserve">広島県</t>
  </si>
  <si>
    <t xml:space="preserve">https://www.pref.hiroshima.lg.jp/</t>
  </si>
  <si>
    <t xml:space="preserve">site:pref.hiroshima.lg.jp 就職氷河期</t>
  </si>
  <si>
    <t xml:space="preserve">山口県</t>
  </si>
  <si>
    <t xml:space="preserve">https://www.pref.yamaguchi.lg.jp/</t>
  </si>
  <si>
    <t xml:space="preserve">site:pref.yamaguchi.lg.jp 就職氷河期</t>
  </si>
  <si>
    <t xml:space="preserve">徳島県</t>
  </si>
  <si>
    <t xml:space="preserve">https://www.pref.tokushima.lg.jp/</t>
  </si>
  <si>
    <t xml:space="preserve">site:pref.tokushima.lg.jp 就職氷河期</t>
  </si>
  <si>
    <t xml:space="preserve">香川県</t>
  </si>
  <si>
    <t xml:space="preserve">https://www.pref.kagawa.lg.jp/</t>
  </si>
  <si>
    <t xml:space="preserve">site:pref.kagawa.lg.jp 就職氷河期</t>
  </si>
  <si>
    <t xml:space="preserve">愛媛県</t>
  </si>
  <si>
    <t xml:space="preserve">https://www.pref.ehime.jp/</t>
  </si>
  <si>
    <t xml:space="preserve">site:pref.ehime.jp 就職氷河期</t>
  </si>
  <si>
    <t xml:space="preserve">高知県</t>
  </si>
  <si>
    <t xml:space="preserve">https://www.pref.kochi.lg.jp/</t>
  </si>
  <si>
    <t xml:space="preserve">site:pref.kochi.lg.jp 就職氷河期</t>
  </si>
  <si>
    <t xml:space="preserve">福岡県</t>
  </si>
  <si>
    <t xml:space="preserve">https://www.pref.fukuoka.lg.jp/</t>
  </si>
  <si>
    <t xml:space="preserve">site:pref.fukuoka.lg.jp 就職氷河期</t>
  </si>
  <si>
    <t xml:space="preserve">佐賀県</t>
  </si>
  <si>
    <t xml:space="preserve">https://www.pref.saga.lg.jp/</t>
  </si>
  <si>
    <t xml:space="preserve">site:pref.saga.lg.jp 就職氷河期</t>
  </si>
  <si>
    <t xml:space="preserve">長崎県</t>
  </si>
  <si>
    <t xml:space="preserve">https://www.pref.nagasaki.jp/</t>
  </si>
  <si>
    <t xml:space="preserve">site:pref.nagasaki.jp 就職氷河期</t>
  </si>
  <si>
    <t xml:space="preserve">熊本県</t>
  </si>
  <si>
    <t xml:space="preserve">https://www.pref.kumamoto.jp/</t>
  </si>
  <si>
    <t xml:space="preserve">site:pref.kumamoto.jp 就職氷河期</t>
  </si>
  <si>
    <t xml:space="preserve">大分県</t>
  </si>
  <si>
    <t xml:space="preserve">https://www.pref.oita.jp/</t>
  </si>
  <si>
    <t xml:space="preserve">site:pref.oita.jp 就職氷河期</t>
  </si>
  <si>
    <t xml:space="preserve">宮崎県</t>
  </si>
  <si>
    <t xml:space="preserve">https://www.pref.miyazaki.lg.jp/</t>
  </si>
  <si>
    <t xml:space="preserve">site:pref.miyazaki.lg.jp 就職氷河期</t>
  </si>
  <si>
    <t xml:space="preserve">鹿児島県</t>
  </si>
  <si>
    <t xml:space="preserve">https://www.pref.kagoshima.jp/</t>
  </si>
  <si>
    <t xml:space="preserve">site:pref.kagoshima.jp 就職氷河期</t>
  </si>
  <si>
    <t xml:space="preserve">沖縄県</t>
  </si>
  <si>
    <t xml:space="preserve">https://www.pref.okinawa.jp/</t>
  </si>
  <si>
    <t xml:space="preserve">site:pref.okinawa.jp 就職氷河期</t>
  </si>
  <si>
    <t xml:space="preserve">ビュー1：カテゴリ別 計上件数（確度A/B・期間内のみ）</t>
  </si>
  <si>
    <t xml:space="preserve">カテゴリ</t>
  </si>
  <si>
    <t xml:space="preserve">狭義</t>
  </si>
  <si>
    <t xml:space="preserve">広義(計)</t>
  </si>
  <si>
    <r>
      <rPr>
        <sz val="10"/>
        <rFont val="Meiryo"/>
        <family val="0"/>
        <charset val="1"/>
      </rPr>
      <t xml:space="preserve">C1</t>
    </r>
    <r>
      <rPr>
        <sz val="10"/>
        <rFont val="Noto Sans CJK SC"/>
        <family val="2"/>
      </rPr>
      <t xml:space="preserve">採用試験</t>
    </r>
  </si>
  <si>
    <r>
      <rPr>
        <sz val="10"/>
        <rFont val="Meiryo"/>
        <family val="0"/>
        <charset val="1"/>
      </rPr>
      <t xml:space="preserve">C2</t>
    </r>
    <r>
      <rPr>
        <sz val="10"/>
        <rFont val="Noto Sans CJK SC"/>
        <family val="2"/>
      </rPr>
      <t xml:space="preserve">公募・委託</t>
    </r>
  </si>
  <si>
    <r>
      <rPr>
        <sz val="10"/>
        <rFont val="Meiryo"/>
        <family val="0"/>
        <charset val="1"/>
      </rPr>
      <t xml:space="preserve">C3</t>
    </r>
    <r>
      <rPr>
        <sz val="10"/>
        <rFont val="Noto Sans CJK SC"/>
        <family val="2"/>
      </rPr>
      <t xml:space="preserve">助成</t>
    </r>
  </si>
  <si>
    <r>
      <rPr>
        <sz val="10"/>
        <rFont val="Meiryo"/>
        <family val="0"/>
        <charset val="1"/>
      </rPr>
      <t xml:space="preserve">C4</t>
    </r>
    <r>
      <rPr>
        <sz val="10"/>
        <rFont val="Noto Sans CJK SC"/>
        <family val="2"/>
      </rPr>
      <t xml:space="preserve">イベント</t>
    </r>
  </si>
  <si>
    <r>
      <rPr>
        <sz val="10"/>
        <rFont val="Meiryo"/>
        <family val="0"/>
        <charset val="1"/>
      </rPr>
      <t xml:space="preserve">C5</t>
    </r>
    <r>
      <rPr>
        <sz val="10"/>
        <rFont val="Noto Sans CJK SC"/>
        <family val="2"/>
      </rPr>
      <t xml:space="preserve">訓練</t>
    </r>
  </si>
  <si>
    <r>
      <rPr>
        <sz val="10"/>
        <rFont val="Meiryo"/>
        <family val="0"/>
        <charset val="1"/>
      </rPr>
      <t xml:space="preserve">C6</t>
    </r>
    <r>
      <rPr>
        <sz val="10"/>
        <rFont val="Noto Sans CJK SC"/>
        <family val="2"/>
      </rPr>
      <t xml:space="preserve">協議会・制度</t>
    </r>
  </si>
  <si>
    <t xml:space="preserve">合計</t>
  </si>
  <si>
    <t xml:space="preserve">ビュー2：対象軸別 計上件数（確度A/B・期間内）</t>
  </si>
  <si>
    <t xml:space="preserve">対象軸</t>
  </si>
  <si>
    <t xml:space="preserve">件数</t>
  </si>
  <si>
    <t xml:space="preserve">当事者向け</t>
  </si>
  <si>
    <t xml:space="preserve">企業向け</t>
  </si>
  <si>
    <t xml:space="preserve">制度周知</t>
  </si>
  <si>
    <t xml:space="preserve">ビュー3：確度別・出所別（全期間内候補を含む）</t>
  </si>
  <si>
    <t xml:space="preserve">区分</t>
  </si>
  <si>
    <t xml:space="preserve">説明</t>
  </si>
  <si>
    <t xml:space="preserve">確度A（直接確認）</t>
  </si>
  <si>
    <t xml:space="preserve">掲載日をページ/報道発表で確認・計上</t>
  </si>
  <si>
    <t xml:space="preserve">確度B（間接確認）</t>
  </si>
  <si>
    <t xml:space="preserve">新着一覧等で確認・計上</t>
  </si>
  <si>
    <t xml:space="preserve">確度C（要精査）</t>
  </si>
  <si>
    <t xml:space="preserve">掲載日未確認・未計上</t>
  </si>
  <si>
    <t xml:space="preserve">　うち出所=アラート</t>
  </si>
  <si>
    <t xml:space="preserve">出所内訳（参考）</t>
  </si>
  <si>
    <t xml:space="preserve">　うち出所=Web巡回</t>
  </si>
  <si>
    <t xml:space="preserve">計上合計（A+B）</t>
  </si>
  <si>
    <t xml:space="preserve">← これが定義Bの確定件数（狭義/広義はビュー1参照）</t>
  </si>
  <si>
    <r>
      <rPr>
        <b val="true"/>
        <sz val="11"/>
        <color rgb="FF808080"/>
        <rFont val="Meiryo"/>
        <family val="0"/>
        <charset val="1"/>
      </rPr>
      <t xml:space="preserve">C1</t>
    </r>
    <r>
      <rPr>
        <b val="true"/>
        <sz val="11"/>
        <color rgb="FF808080"/>
        <rFont val="Noto Sans CJK SC"/>
        <family val="2"/>
      </rPr>
      <t xml:space="preserve">採用試験：実施県数（当方の期間内アクティブ確認・補助指標）</t>
    </r>
  </si>
  <si>
    <t xml:space="preserve">氷河期枠採用試験を実施・期間内に動きを確認した都道府県数</t>
  </si>
  <si>
    <t xml:space="preserve">※1県1行運用（C1は県ごとに1行に統合）</t>
  </si>
  <si>
    <r>
      <rPr>
        <b val="true"/>
        <sz val="11"/>
        <color rgb="FF808080"/>
        <rFont val="Meiryo"/>
        <family val="0"/>
        <charset val="1"/>
      </rPr>
      <t xml:space="preserve">C1</t>
    </r>
    <r>
      <rPr>
        <b val="true"/>
        <sz val="11"/>
        <color rgb="FF808080"/>
        <rFont val="Noto Sans CJK SC"/>
        <family val="2"/>
      </rPr>
      <t xml:space="preserve">採用試験：実施県数【令和</t>
    </r>
    <r>
      <rPr>
        <b val="true"/>
        <sz val="11"/>
        <color rgb="FF808080"/>
        <rFont val="Meiryo"/>
        <family val="0"/>
        <charset val="1"/>
      </rPr>
      <t xml:space="preserve">8</t>
    </r>
    <r>
      <rPr>
        <b val="true"/>
        <sz val="11"/>
        <color rgb="FF808080"/>
        <rFont val="Noto Sans CJK SC"/>
        <family val="2"/>
      </rPr>
      <t xml:space="preserve">年度実施・当方一次確認】（補助指標）</t>
    </r>
  </si>
  <si>
    <t xml:space="preserve">令和8年度に氷河期枠採用を実施している都道府県数</t>
  </si>
  <si>
    <t xml:space="preserve">※期間内アクティブ(28行)の上位集合。1県1行運用</t>
  </si>
  <si>
    <t xml:space="preserve">　＋ 氷河期区分あり・R8未確認（継続可能性）</t>
  </si>
  <si>
    <t xml:space="preserve">令和8年度の一次確認は未了。実施県数には含めない</t>
  </si>
  <si>
    <t xml:space="preserve">【撤回】常設サイトの類型別 県数（維持/改称/併存）</t>
  </si>
  <si>
    <t xml:space="preserve">この指標（維持・改称・併存の県数）は、判定を「協議会名の改称」で代用しており、当事者が実際に検索して県の支援ページへ到達できるか（検索到達性）を確認していませんでした。読者の指摘を受けた再検証で神奈川・北海道等が反証されたため、2026-07-05に本指標を撤回。数値は本ファイルの集計・記事の主張には使用しません。詳細は「常設サイト存在マップ（撤回・参考）」シート冒頭を参照。</t>
  </si>
  <si>
    <r>
      <rPr>
        <b val="true"/>
        <sz val="12"/>
        <color rgb="FFC00000"/>
        <rFont val="Noto Sans CJK SC"/>
        <family val="2"/>
      </rPr>
      <t xml:space="preserve">【訂正】</t>
    </r>
    <r>
      <rPr>
        <b val="true"/>
        <sz val="12"/>
        <color rgb="FFC00000"/>
        <rFont val="Meiryo"/>
        <family val="0"/>
        <charset val="1"/>
      </rPr>
      <t xml:space="preserve">C1</t>
    </r>
    <r>
      <rPr>
        <b val="true"/>
        <sz val="12"/>
        <color rgb="FFC00000"/>
        <rFont val="Noto Sans CJK SC"/>
        <family val="2"/>
      </rPr>
      <t xml:space="preserve">採用試験の「実施都道府県数」について</t>
    </r>
  </si>
  <si>
    <r>
      <rPr>
        <sz val="10"/>
        <rFont val="Noto Sans CJK SC"/>
        <family val="2"/>
      </rPr>
      <t xml:space="preserve">当初ここに「氷河期に限定した中途採用を実施＝</t>
    </r>
    <r>
      <rPr>
        <sz val="10"/>
        <rFont val="Meiryo"/>
        <family val="0"/>
        <charset val="1"/>
      </rPr>
      <t xml:space="preserve">28</t>
    </r>
    <r>
      <rPr>
        <sz val="10"/>
        <rFont val="Noto Sans CJK SC"/>
        <family val="2"/>
      </rPr>
      <t xml:space="preserve">都道府県（</t>
    </r>
    <r>
      <rPr>
        <sz val="10"/>
        <rFont val="Meiryo"/>
        <family val="0"/>
        <charset val="1"/>
      </rPr>
      <t xml:space="preserve">59.6%</t>
    </r>
    <r>
      <rPr>
        <sz val="10"/>
        <rFont val="Noto Sans CJK SC"/>
        <family val="2"/>
      </rPr>
      <t xml:space="preserve">）／受験可能</t>
    </r>
    <r>
      <rPr>
        <sz val="10"/>
        <rFont val="Meiryo"/>
        <family val="0"/>
        <charset val="1"/>
      </rPr>
      <t xml:space="preserve">46</t>
    </r>
    <r>
      <rPr>
        <sz val="10"/>
        <rFont val="Noto Sans CJK SC"/>
        <family val="2"/>
      </rPr>
      <t xml:space="preserve">（</t>
    </r>
    <r>
      <rPr>
        <sz val="10"/>
        <rFont val="Meiryo"/>
        <family val="0"/>
        <charset val="1"/>
      </rPr>
      <t xml:space="preserve">97.9%</t>
    </r>
    <r>
      <rPr>
        <sz val="10"/>
        <rFont val="Noto Sans CJK SC"/>
        <family val="2"/>
      </rPr>
      <t xml:space="preserve">）」と記載していたが誤り。「</t>
    </r>
    <r>
      <rPr>
        <sz val="10"/>
        <rFont val="Meiryo"/>
        <family val="0"/>
        <charset val="1"/>
      </rPr>
      <t xml:space="preserve">28</t>
    </r>
    <r>
      <rPr>
        <sz val="10"/>
        <rFont val="Noto Sans CJK SC"/>
        <family val="2"/>
      </rPr>
      <t xml:space="preserve">」は内閣官房</t>
    </r>
    <r>
      <rPr>
        <sz val="10"/>
        <rFont val="Meiryo"/>
        <family val="0"/>
        <charset val="1"/>
      </rPr>
      <t xml:space="preserve">PDF</t>
    </r>
    <r>
      <rPr>
        <sz val="10"/>
        <rFont val="Noto Sans CJK SC"/>
        <family val="2"/>
      </rPr>
      <t xml:space="preserve">のページ番号を実施県数と誤認したもので、一次資料に該当する都道府県数は存在しない（</t>
    </r>
    <r>
      <rPr>
        <sz val="10"/>
        <rFont val="Meiryo"/>
        <family val="0"/>
        <charset val="1"/>
      </rPr>
      <t xml:space="preserve">2026-07-06 </t>
    </r>
    <r>
      <rPr>
        <sz val="10"/>
        <rFont val="Noto Sans CJK SC"/>
        <family val="2"/>
      </rPr>
      <t xml:space="preserve">撤回）。正しい国の一次データは採用者数：①地方公務員の氷河期採用</t>
    </r>
    <r>
      <rPr>
        <sz val="10"/>
        <rFont val="Meiryo"/>
        <family val="0"/>
        <charset val="1"/>
      </rPr>
      <t xml:space="preserve">14,299</t>
    </r>
    <r>
      <rPr>
        <sz val="10"/>
        <rFont val="Noto Sans CJK SC"/>
        <family val="2"/>
      </rPr>
      <t xml:space="preserve">名（令和</t>
    </r>
    <r>
      <rPr>
        <sz val="10"/>
        <rFont val="Meiryo"/>
        <family val="0"/>
        <charset val="1"/>
      </rPr>
      <t xml:space="preserve">2</t>
    </r>
    <r>
      <rPr>
        <sz val="10"/>
        <rFont val="Noto Sans CJK SC"/>
        <family val="2"/>
      </rPr>
      <t xml:space="preserve">〜</t>
    </r>
    <r>
      <rPr>
        <sz val="10"/>
        <rFont val="Meiryo"/>
        <family val="0"/>
        <charset val="1"/>
      </rPr>
      <t xml:space="preserve">5</t>
    </r>
    <r>
      <rPr>
        <sz val="10"/>
        <rFont val="Noto Sans CJK SC"/>
        <family val="2"/>
      </rPr>
      <t xml:space="preserve">年度。うち氷河期限定試験</t>
    </r>
    <r>
      <rPr>
        <sz val="10"/>
        <rFont val="Meiryo"/>
        <family val="0"/>
        <charset val="1"/>
      </rPr>
      <t xml:space="preserve">2,199</t>
    </r>
    <r>
      <rPr>
        <sz val="10"/>
        <rFont val="Noto Sans CJK SC"/>
        <family val="2"/>
      </rPr>
      <t xml:space="preserve">名／氷河期が受験可能な試験</t>
    </r>
    <r>
      <rPr>
        <sz val="10"/>
        <rFont val="Meiryo"/>
        <family val="0"/>
        <charset val="1"/>
      </rPr>
      <t xml:space="preserve">12,100</t>
    </r>
    <r>
      <rPr>
        <sz val="10"/>
        <rFont val="Noto Sans CJK SC"/>
        <family val="2"/>
      </rPr>
      <t xml:space="preserve">名）。②国家公務員 中途採用者選考試験（氷河期）</t>
    </r>
    <r>
      <rPr>
        <sz val="10"/>
        <rFont val="Meiryo"/>
        <family val="0"/>
        <charset val="1"/>
      </rPr>
      <t xml:space="preserve">679</t>
    </r>
    <r>
      <rPr>
        <sz val="10"/>
        <rFont val="Noto Sans CJK SC"/>
        <family val="2"/>
      </rPr>
      <t xml:space="preserve">名（令和</t>
    </r>
    <r>
      <rPr>
        <sz val="10"/>
        <rFont val="Meiryo"/>
        <family val="0"/>
        <charset val="1"/>
      </rPr>
      <t xml:space="preserve">2</t>
    </r>
    <r>
      <rPr>
        <sz val="10"/>
        <rFont val="Noto Sans CJK SC"/>
        <family val="2"/>
      </rPr>
      <t xml:space="preserve">〜</t>
    </r>
    <r>
      <rPr>
        <sz val="10"/>
        <rFont val="Meiryo"/>
        <family val="0"/>
        <charset val="1"/>
      </rPr>
      <t xml:space="preserve">5</t>
    </r>
    <r>
      <rPr>
        <sz val="10"/>
        <rFont val="Noto Sans CJK SC"/>
        <family val="2"/>
      </rPr>
      <t xml:space="preserve">年度・目標</t>
    </r>
    <r>
      <rPr>
        <sz val="10"/>
        <rFont val="Meiryo"/>
        <family val="0"/>
        <charset val="1"/>
      </rPr>
      <t xml:space="preserve">600</t>
    </r>
    <r>
      <rPr>
        <sz val="10"/>
        <rFont val="Noto Sans CJK SC"/>
        <family val="2"/>
      </rPr>
      <t xml:space="preserve">名超過）。③政府方針＝令和</t>
    </r>
    <r>
      <rPr>
        <sz val="10"/>
        <rFont val="Meiryo"/>
        <family val="0"/>
        <charset val="1"/>
      </rPr>
      <t xml:space="preserve">8</t>
    </r>
    <r>
      <rPr>
        <sz val="10"/>
        <rFont val="Noto Sans CJK SC"/>
        <family val="2"/>
      </rPr>
      <t xml:space="preserve">年</t>
    </r>
    <r>
      <rPr>
        <sz val="10"/>
        <rFont val="Meiryo"/>
        <family val="0"/>
        <charset val="1"/>
      </rPr>
      <t xml:space="preserve">4</t>
    </r>
    <r>
      <rPr>
        <sz val="10"/>
        <rFont val="Noto Sans CJK SC"/>
        <family val="2"/>
      </rPr>
      <t xml:space="preserve">月</t>
    </r>
    <r>
      <rPr>
        <sz val="10"/>
        <rFont val="Meiryo"/>
        <family val="0"/>
        <charset val="1"/>
      </rPr>
      <t xml:space="preserve">22</t>
    </r>
    <r>
      <rPr>
        <sz val="10"/>
        <rFont val="Noto Sans CJK SC"/>
        <family val="2"/>
      </rPr>
      <t xml:space="preserve">日「就職氷河期世代の国家公務員中途採用の方針」で令和</t>
    </r>
    <r>
      <rPr>
        <sz val="10"/>
        <rFont val="Meiryo"/>
        <family val="0"/>
        <charset val="1"/>
      </rPr>
      <t xml:space="preserve">8</t>
    </r>
    <r>
      <rPr>
        <sz val="10"/>
        <rFont val="Noto Sans CJK SC"/>
        <family val="2"/>
      </rPr>
      <t xml:space="preserve">〜</t>
    </r>
    <r>
      <rPr>
        <sz val="10"/>
        <rFont val="Meiryo"/>
        <family val="0"/>
        <charset val="1"/>
      </rPr>
      <t xml:space="preserve">10</t>
    </r>
    <r>
      <rPr>
        <sz val="10"/>
        <rFont val="Noto Sans CJK SC"/>
        <family val="2"/>
      </rPr>
      <t xml:space="preserve">年度の継続を決定。実施「県数」の主指標は撤回。当方の全</t>
    </r>
    <r>
      <rPr>
        <sz val="10"/>
        <rFont val="Meiryo"/>
        <family val="0"/>
        <charset val="1"/>
      </rPr>
      <t xml:space="preserve">47</t>
    </r>
    <r>
      <rPr>
        <sz val="10"/>
        <rFont val="Noto Sans CJK SC"/>
        <family val="2"/>
      </rPr>
      <t xml:space="preserve">県一次確認（</t>
    </r>
    <r>
      <rPr>
        <sz val="10"/>
        <rFont val="Meiryo"/>
        <family val="0"/>
        <charset val="1"/>
      </rPr>
      <t xml:space="preserve">R8</t>
    </r>
    <r>
      <rPr>
        <sz val="10"/>
        <rFont val="Noto Sans CJK SC"/>
        <family val="2"/>
      </rPr>
      <t xml:space="preserve">確定</t>
    </r>
    <r>
      <rPr>
        <sz val="10"/>
        <rFont val="Meiryo"/>
        <family val="0"/>
        <charset val="1"/>
      </rPr>
      <t xml:space="preserve">6</t>
    </r>
    <r>
      <rPr>
        <sz val="10"/>
        <rFont val="Noto Sans CJK SC"/>
        <family val="2"/>
      </rPr>
      <t xml:space="preserve">・継続可能性</t>
    </r>
    <r>
      <rPr>
        <sz val="10"/>
        <rFont val="Meiryo"/>
        <family val="0"/>
        <charset val="1"/>
      </rPr>
      <t xml:space="preserve">3</t>
    </r>
    <r>
      <rPr>
        <sz val="10"/>
        <rFont val="Noto Sans CJK SC"/>
        <family val="2"/>
      </rPr>
      <t xml:space="preserve">・確認済不明</t>
    </r>
    <r>
      <rPr>
        <sz val="10"/>
        <rFont val="Meiryo"/>
        <family val="0"/>
        <charset val="1"/>
      </rPr>
      <t xml:space="preserve">21</t>
    </r>
    <r>
      <rPr>
        <sz val="10"/>
        <rFont val="Noto Sans CJK SC"/>
        <family val="2"/>
      </rPr>
      <t xml:space="preserve">）と、上記の国の採用者数・政府方針を根拠とする。出典：内閣官房 就職氷河期世代支援推進室 参考資料（第</t>
    </r>
    <r>
      <rPr>
        <sz val="10"/>
        <rFont val="Meiryo"/>
        <family val="0"/>
        <charset val="1"/>
      </rPr>
      <t xml:space="preserve">6</t>
    </r>
    <r>
      <rPr>
        <sz val="10"/>
        <rFont val="Noto Sans CJK SC"/>
        <family val="2"/>
      </rPr>
      <t xml:space="preserve">回）／総務省採用ページ </t>
    </r>
    <r>
      <rPr>
        <sz val="10"/>
        <rFont val="Meiryo"/>
        <family val="0"/>
        <charset val="1"/>
      </rPr>
      <t xml:space="preserve">20260422</t>
    </r>
    <r>
      <rPr>
        <sz val="10"/>
        <rFont val="Noto Sans CJK SC"/>
        <family val="2"/>
      </rPr>
      <t xml:space="preserve">方針。</t>
    </r>
  </si>
  <si>
    <t xml:space="preserve">⚠ この分類は撤回しました（2026-07-05）。参考情報としてのみ残しています。</t>
  </si>
  <si>
    <t xml:space="preserve">判定を「協議会名の改称」で代用し、検索到達性を確認していなかったため、記事・集計の主張には使用しません。正しくは「氷河期 支援 ○○県」で県の支援ページに到達できるかで判定すべきで、その再調査は未了です。</t>
  </si>
  <si>
    <t xml:space="preserve">（撤回・参考）常設支援サイト・窓口の類型メモ</t>
  </si>
  <si>
    <t xml:space="preserve">類型</t>
  </si>
  <si>
    <t xml:space="preserve">根拠（常設サイト・窓口の名称等）</t>
  </si>
  <si>
    <t xml:space="preserve">改称</t>
  </si>
  <si>
    <t xml:space="preserve">中高年世代活躍応援プロジェクト協議会へ改組</t>
  </si>
  <si>
    <t xml:space="preserve">併存</t>
  </si>
  <si>
    <t xml:space="preserve">中高年再就職セミナー＋氷河期加速化業務が併存</t>
  </si>
  <si>
    <t xml:space="preserve">維持</t>
  </si>
  <si>
    <t xml:space="preserve">いわて就職氷河期世代活躍支援PF</t>
  </si>
  <si>
    <t xml:space="preserve">就職氷河期世代支援ページ＋氷河期枠採用試験を維持</t>
  </si>
  <si>
    <t xml:space="preserve">あきた就職氷河期世代活躍支援PF／Reチャレンジ秋田</t>
  </si>
  <si>
    <t xml:space="preserve">要確認</t>
  </si>
  <si>
    <t xml:space="preserve">（この巡回では常設サイトの類型を確定できず・要確認）</t>
  </si>
  <si>
    <t xml:space="preserve">就職氷河期世代活躍支援＋ミドルエールコーナー</t>
  </si>
  <si>
    <t xml:space="preserve">「ミドル世代（就職氷河期世代）」と併記</t>
  </si>
  <si>
    <t xml:space="preserve">ぐんま中高年世代活躍応援プロジェクト協議会へ改称</t>
  </si>
  <si>
    <t xml:space="preserve">ミドル世代活躍支援事業へ</t>
  </si>
  <si>
    <t xml:space="preserve">氷河期特別支援窓口・独自助成金・氷河期枠採用試験</t>
  </si>
  <si>
    <t xml:space="preserve">かながわ中高年活躍応援協議会へ改組・採用も中途(キャリアフリー)</t>
  </si>
  <si>
    <t xml:space="preserve">にいがた就職氷河期世代しごとサポートサイト</t>
  </si>
  <si>
    <t xml:space="preserve">富山労働局 氷河期特設＋氷河期枠採用区分</t>
  </si>
  <si>
    <t xml:space="preserve">氷河期ページ内に中高年セミナー</t>
  </si>
  <si>
    <t xml:space="preserve">ぎふ中高年協議会＋氷河期向けIT講座</t>
  </si>
  <si>
    <t xml:space="preserve">しずおか就職氷河期情報ひろば／氷河期枠採用候補</t>
  </si>
  <si>
    <t xml:space="preserve">あいち中高年世代活躍応援プロジェクト協議会へ</t>
  </si>
  <si>
    <t xml:space="preserve">シニアジョブステーション（中高年）へ</t>
  </si>
  <si>
    <t xml:space="preserve">中高年世代活躍応援プロジェクト協議会へ</t>
  </si>
  <si>
    <t xml:space="preserve">就職氷河期世代活躍支援＋中高年協議会</t>
  </si>
  <si>
    <t xml:space="preserve">岡山労働局 中高年層（ミドルシニア）へ改称</t>
  </si>
  <si>
    <t xml:space="preserve">中高年協議会へ改組＋県の氷河期ページ併存</t>
  </si>
  <si>
    <t xml:space="preserve">氷河期枠の県職員採用試験を維持</t>
  </si>
  <si>
    <t xml:space="preserve">就職氷河期世代活躍支援かがわPF</t>
  </si>
  <si>
    <t xml:space="preserve">中高年就職支援センター(氷河期明示)＋中高年告知</t>
  </si>
  <si>
    <t xml:space="preserve">ながさき就職氷河期世代活躍支援PF</t>
  </si>
  <si>
    <t xml:space="preserve">くまジョブ 就職氷河期世代就労支援</t>
  </si>
  <si>
    <r>
      <rPr>
        <sz val="10"/>
        <rFont val="Meiryo"/>
        <family val="0"/>
        <charset val="1"/>
      </rPr>
      <t xml:space="preserve">35</t>
    </r>
    <r>
      <rPr>
        <sz val="10"/>
        <rFont val="Noto Sans CJK SC"/>
        <family val="2"/>
      </rPr>
      <t xml:space="preserve">就労チャレンジ（幅広い世代へ拡充）</t>
    </r>
  </si>
  <si>
    <t xml:space="preserve">県キャリアセンター 就職氷河期世代支援</t>
  </si>
  <si>
    <t xml:space="preserve">※広義件数＝期間内の全件、狭義件数＝うち『氷河期』明記分。期間は黄色セルで変更可。</t>
  </si>
  <si>
    <t xml:space="preserve">終点</t>
  </si>
  <si>
    <t xml:space="preserve">狭義件数</t>
  </si>
  <si>
    <t xml:space="preserve">広義件数</t>
  </si>
  <si>
    <t xml:space="preserve">採用試験</t>
  </si>
  <si>
    <t xml:space="preserve">相談・支援窓口</t>
  </si>
  <si>
    <t xml:space="preserve">セミナー・説明会・イベント</t>
  </si>
  <si>
    <t xml:space="preserve">リスキリング・職業訓練</t>
  </si>
  <si>
    <t xml:space="preserve">交付金事業周知</t>
  </si>
  <si>
    <t xml:space="preserve">その他</t>
  </si>
  <si>
    <t xml:space="preserve">全県合計</t>
  </si>
  <si>
    <t xml:space="preserve">No</t>
  </si>
  <si>
    <t xml:space="preserve">主体区分</t>
  </si>
  <si>
    <t xml:space="preserve">主体名</t>
  </si>
  <si>
    <t xml:space="preserve">告知日</t>
  </si>
  <si>
    <t xml:space="preserve">告知タイトル</t>
  </si>
  <si>
    <t xml:space="preserve">URL</t>
  </si>
  <si>
    <t xml:space="preserve">確認日</t>
  </si>
  <si>
    <t xml:space="preserve">期間内</t>
  </si>
  <si>
    <t xml:space="preserve">開催日</t>
  </si>
  <si>
    <t xml:space="preserve">確度</t>
  </si>
  <si>
    <t xml:space="preserve">出所</t>
  </si>
  <si>
    <r>
      <rPr>
        <b val="true"/>
        <sz val="10"/>
        <color rgb="FFFFFFFF"/>
        <rFont val="Meiryo"/>
        <family val="0"/>
        <charset val="1"/>
      </rPr>
      <t xml:space="preserve">C1</t>
    </r>
    <r>
      <rPr>
        <b val="true"/>
        <sz val="10"/>
        <color rgb="FFFFFFFF"/>
        <rFont val="Noto Sans CJK SC"/>
        <family val="2"/>
      </rPr>
      <t xml:space="preserve">実施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期間内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</si>
  <si>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Meiryo"/>
        <family val="0"/>
        <charset val="1"/>
      </rPr>
      <t xml:space="preserve">C1_R8</t>
    </r>
    <r>
      <rPr>
        <b val="true"/>
        <sz val="10"/>
        <color rgb="FFFFFFFF"/>
        <rFont val="Noto Sans CJK SC"/>
        <family val="2"/>
      </rPr>
      <t xml:space="preserve">実施</t>
    </r>
  </si>
  <si>
    <r>
      <rPr>
        <b val="true"/>
        <sz val="10"/>
        <color rgb="FFFFFFFF"/>
        <rFont val="Meiryo"/>
        <family val="0"/>
        <charset val="1"/>
      </rPr>
      <t xml:space="preserve">C1</t>
    </r>
    <r>
      <rPr>
        <b val="true"/>
        <sz val="10"/>
        <color rgb="FFFFFFFF"/>
        <rFont val="Noto Sans CJK SC"/>
        <family val="2"/>
      </rPr>
      <t xml:space="preserve">区分状態</t>
    </r>
  </si>
  <si>
    <t xml:space="preserve">労働局・ハローワーク</t>
  </si>
  <si>
    <t xml:space="preserve">ハローワーク浦和／埼玉しごとセンター</t>
  </si>
  <si>
    <t xml:space="preserve">広義</t>
  </si>
  <si>
    <r>
      <rPr>
        <sz val="10"/>
        <rFont val="Meiryo"/>
        <family val="0"/>
        <charset val="1"/>
      </rPr>
      <t xml:space="preserve">5/15</t>
    </r>
    <r>
      <rPr>
        <sz val="10"/>
        <rFont val="Noto Sans CJK SC"/>
        <family val="2"/>
      </rPr>
      <t xml:space="preserve">開催「ミドル世代就職応援セミナー（求人票の見方・探し方）」</t>
    </r>
  </si>
  <si>
    <t xml:space="preserve">https://jsite.mhlw.go.jp/saitama-hellowork/event/index.html</t>
  </si>
  <si>
    <t xml:space="preserve">確度:高。ミドル世代＝旧氷河期。掲載日4/21で期間内</t>
  </si>
  <si>
    <t xml:space="preserve">B</t>
  </si>
  <si>
    <r>
      <rPr>
        <sz val="10"/>
        <rFont val="Meiryo"/>
        <family val="0"/>
        <charset val="1"/>
      </rPr>
      <t xml:space="preserve">Web</t>
    </r>
    <r>
      <rPr>
        <sz val="10"/>
        <rFont val="Noto Sans CJK SC"/>
        <family val="2"/>
      </rPr>
      <t xml:space="preserve">巡回</t>
    </r>
  </si>
  <si>
    <t xml:space="preserve">政令市・特別区</t>
  </si>
  <si>
    <t xml:space="preserve">さいたま市</t>
  </si>
  <si>
    <t xml:space="preserve">就職氷河期世代就労支援：マネーライフセミナー＋合同就職面接会</t>
  </si>
  <si>
    <t xml:space="preserve">https://www.city.saitama.lg.jp/001/005/010/007/index.html</t>
  </si>
  <si>
    <t xml:space="preserve">確度:中。氷河期明記。掲載/開催日を要確認</t>
  </si>
  <si>
    <t xml:space="preserve">C</t>
  </si>
  <si>
    <t xml:space="preserve">栃木県（WORKWORKとちぎ）</t>
  </si>
  <si>
    <t xml:space="preserve">ミドル世代（就職氷河期世代）巡回セミナー＆相談会 県北・県南・県央 2026年度</t>
  </si>
  <si>
    <t xml:space="preserve">https://workwork-tochigi.jp/</t>
  </si>
  <si>
    <t xml:space="preserve">確度:中。県事業名に氷河期併記。3地区で最大3件。掲載日要確認</t>
  </si>
  <si>
    <t xml:space="preserve">茨城労働局（氷河期PF）</t>
  </si>
  <si>
    <t xml:space="preserve">キャリアデザインセミナー＋合同企業説明会</t>
  </si>
  <si>
    <t xml:space="preserve">https://ibaraki-hyogaki.mhlw.go.jp/recruit.html</t>
  </si>
  <si>
    <t xml:space="preserve">確度:低。robotsで自動取得不可。開催日要確認</t>
  </si>
  <si>
    <t xml:space="preserve">千葉県ジョブサポートセンター</t>
  </si>
  <si>
    <t xml:space="preserve">ミドル世代活躍支援事業 就職支援講座</t>
  </si>
  <si>
    <t xml:space="preserve">https://www.pref.chiba.lg.jp/koyou/syushokuhyogaki/</t>
  </si>
  <si>
    <t xml:space="preserve">確度:中。合同説明会は1/30で期間外。在期間内の新規告知を要確認</t>
  </si>
  <si>
    <t xml:space="preserve">群馬県労働政策課</t>
  </si>
  <si>
    <t xml:space="preserve">（4/10–6/12の新規告知は未確認）</t>
  </si>
  <si>
    <t xml:space="preserve">https://www.pref.gunma.jp/soshiki/150/index-2.html</t>
  </si>
  <si>
    <t xml:space="preserve">確度:低。PF・専門窓口は2024掲載の常設</t>
  </si>
  <si>
    <t xml:space="preserve">「かながわ中高年活躍応援プロジェクト協議会」へ改組（旧氷河期PF）</t>
  </si>
  <si>
    <t xml:space="preserve">https://www.pref.kanagawa.jp/docs/z4r/shushokuhyogaki.html</t>
  </si>
  <si>
    <t xml:space="preserve">確度:低。改組は令和7/5/1で期間外</t>
  </si>
  <si>
    <t xml:space="preserve">大阪府（OSAKAしごとフィールド）</t>
  </si>
  <si>
    <t xml:space="preserve">中高年世代活躍応援プロジェクト協議会／ミドル世代就職面接会＆企業説明会</t>
  </si>
  <si>
    <t xml:space="preserve">https://www.pref.osaka.lg.jp/o110100/koyotaisaku/hyougaki/index.html</t>
  </si>
  <si>
    <t xml:space="preserve">確度:低。面接会は令和7/12/11で期間外。改組済</t>
  </si>
  <si>
    <t xml:space="preserve">京都労働局</t>
  </si>
  <si>
    <t xml:space="preserve">就職氷河期世代支援特設ページ（令和7年4月に中高年世代へ拡大）</t>
  </si>
  <si>
    <t xml:space="preserve">https://jsite.mhlw.go.jp/kyoto-roudoukyoku/newpage_00331.html</t>
  </si>
  <si>
    <t xml:space="preserve">確度:低。移行・常設。期間内の新規告知を要確認</t>
  </si>
  <si>
    <t xml:space="preserve">令和8年度 就職氷河期世代等就労促進事業 企画提案コンペ参加者募集</t>
  </si>
  <si>
    <t xml:space="preserve">https://web.pref.hyogo.lg.jp/sr05/hyogaki/hyogopf.html</t>
  </si>
  <si>
    <t xml:space="preserve">確度:中。氷河期明記のR8事業募集。掲載日要確認（期間内の可能性高）／【C2】交付金終了後の県事業。掲載日要精査</t>
  </si>
  <si>
    <t xml:space="preserve">兵庫県就職氷河期世代活躍支援PF</t>
  </si>
  <si>
    <t xml:space="preserve">第6回 就職氷河期世代の雇用セミナー（西宮市民会館）</t>
  </si>
  <si>
    <t xml:space="preserve">https://hyogo-pf.com/</t>
  </si>
  <si>
    <t xml:space="preserve">確度:中。氷河期明記。開催日要確認</t>
  </si>
  <si>
    <t xml:space="preserve">滋賀県（シニアジョブステーション滋賀）</t>
  </si>
  <si>
    <t xml:space="preserve">企業向けセミナー「中高年人材の戦略的活用法」（6/17開催）</t>
  </si>
  <si>
    <t xml:space="preserve">https://www.pref.shiga.lg.jp/kensei/koho/e-shinbun/oshirase/351018.html</t>
  </si>
  <si>
    <t xml:space="preserve">確度:高。県eしんぶん6/10掲載で期間内。中高年（広義）</t>
  </si>
  <si>
    <t xml:space="preserve">奈良労働局（中高年世代活躍応援プロジェクト）</t>
  </si>
  <si>
    <t xml:space="preserve">中高年世代活躍応援プロジェクト 合同企業説明会等</t>
  </si>
  <si>
    <t xml:space="preserve">https://chuukounen-nara.mhlw.go.jp/</t>
  </si>
  <si>
    <t xml:space="preserve">確度:低。掲載イベントは令和7年度(2025)分=期間外。在期間内告知を要確認</t>
  </si>
  <si>
    <t xml:space="preserve">（4/10–6/12の県固有告知は未確認）</t>
  </si>
  <si>
    <t xml:space="preserve">確度:低。検索で県固有の期間内告知を確認できず。要手動確認</t>
  </si>
  <si>
    <t xml:space="preserve">愛知県（あいち中高年世代活躍応援プロジェクト協議会）</t>
  </si>
  <si>
    <t xml:space="preserve">あいち合同企業説明会 開催案内</t>
  </si>
  <si>
    <t xml:space="preserve">https://www.pref.aichi.jp/site/shushokuhyougaki/</t>
  </si>
  <si>
    <t xml:space="preserve">確度:中。改組(2025/7)。説明会の掲載日を要確認</t>
  </si>
  <si>
    <t xml:space="preserve">岐阜県（ぎふ中高年世代活躍応援プロジェクト協議会）</t>
  </si>
  <si>
    <t xml:space="preserve">就職氷河期世代向けIT資格取得支援オンライン講座 ほか</t>
  </si>
  <si>
    <t xml:space="preserve">https://www.pref.gifu.lg.jp/page/401403.html</t>
  </si>
  <si>
    <t xml:space="preserve">確度:低。氷河期明記の常設講座。期間内の新規募集告知を要確認</t>
  </si>
  <si>
    <t xml:space="preserve">静岡労働局（ミドル・チャレンジコーナー）</t>
  </si>
  <si>
    <t xml:space="preserve">中高年層（ミドルシニア）専門窓口・各種セミナー</t>
  </si>
  <si>
    <t xml:space="preserve">https://jsite.mhlw.go.jp/shizuoka-roudoukyoku/roudoukyoku/syokuan/anteika_support.html</t>
  </si>
  <si>
    <t xml:space="preserve">確度:低。常設窓口。期間内の新規セミナー告知を要確認</t>
  </si>
  <si>
    <t xml:space="preserve">北海道（雇用労政課）</t>
  </si>
  <si>
    <t xml:space="preserve">就職氷河期世代の活躍のための支援メニュー（5/11ページ更新）</t>
  </si>
  <si>
    <t xml:space="preserve">https://www.pref.hokkaido.lg.jp/kz/rkr/ss/shuushokuhyougakisien.html</t>
  </si>
  <si>
    <t xml:space="preserve">確度:低。更新日2026/5/11は期間内だが個別告知でなくメニュー更新。要確認</t>
  </si>
  <si>
    <t xml:space="preserve">青森県（ネクストキャリアセンターあおもり）</t>
  </si>
  <si>
    <t xml:space="preserve">中高年雇用対策（45歳以上）再就職セミナー・合同企業説明会 開催予定</t>
  </si>
  <si>
    <t xml:space="preserve">https://www.pref.aomori.lg.jp/soshiki/kodomo/wakamono/hatarakizakari-jigyou.html</t>
  </si>
  <si>
    <t xml:space="preserve">確度:低。ページ更新4/1。個別日程はセンターHP掲載=要確認</t>
  </si>
  <si>
    <t xml:space="preserve">岩手県（いわて就職氷河期世代活躍支援PF）</t>
  </si>
  <si>
    <t xml:space="preserve">ミドル世代等就職支援事業（就職氷河期世代支援事業）</t>
  </si>
  <si>
    <t xml:space="preserve">https://www.pref.iwate.jp/sangyoukoyou/koyouroudou/koyou/1045189.html</t>
  </si>
  <si>
    <t xml:space="preserve">確度:低。掲載セミナーは過年度実績。期間内の新規告知を要確認</t>
  </si>
  <si>
    <t xml:space="preserve">宮城県（みやぎジョブカフェ等）</t>
  </si>
  <si>
    <t xml:space="preserve">就職氷河期世代への就職支援について（交付金活用事業）</t>
  </si>
  <si>
    <t xml:space="preserve">https://www.pref.miyagi.jp/soshiki/koyou/jobcafe-hyougaki20250207.html</t>
  </si>
  <si>
    <t xml:space="preserve">確度:中。県ページ掲載日5/12で期間内。氷河期明記</t>
  </si>
  <si>
    <t xml:space="preserve">秋田県（あきた就職氷河期世代活躍支援PF／Reチャレンジ秋田）</t>
  </si>
  <si>
    <t xml:space="preserve">特設サイトで就職相談会等を告知</t>
  </si>
  <si>
    <t xml:space="preserve">https://www.pref.akita.lg.jp/pages/genre/56921</t>
  </si>
  <si>
    <t xml:space="preserve">確度:低。特設サイト常設。期間内の個別告知を要確認</t>
  </si>
  <si>
    <t xml:space="preserve">山形労働局</t>
  </si>
  <si>
    <t xml:space="preserve">就職氷河期世代向け短期資格取得コース・職業訓練（氷河期プロジェクト）</t>
  </si>
  <si>
    <t xml:space="preserve">https://jsite.mhlw.go.jp/yamagata-roudoukyoku/hourei_seido_tetsuzuki/hyougaki_00004.html</t>
  </si>
  <si>
    <t xml:space="preserve">確度:低。氷河期明記の訓練案内。期間内の新規募集告知を要確認</t>
  </si>
  <si>
    <t xml:space="preserve">福島県（ミドルエールコーナー等）</t>
  </si>
  <si>
    <t xml:space="preserve">就職氷河期世代活躍支援（各種セミナー・研修）</t>
  </si>
  <si>
    <t xml:space="preserve">https://www.pref.fukushima.lg.jp/sec/32011c/hyougaki.html</t>
  </si>
  <si>
    <t xml:space="preserve">確度:低。県ページ氷河期明記。期間内の新規セミナー告知を要確認</t>
  </si>
  <si>
    <t xml:space="preserve">新潟県（にいがた就職氷河期世代しごとサポートサイト／労働局委託）</t>
  </si>
  <si>
    <t xml:space="preserve">就職氷河期世代向けセミナー・合同企業説明会（特設サイト）</t>
  </si>
  <si>
    <t xml:space="preserve">https://www.niigata-work.com/events/</t>
  </si>
  <si>
    <t xml:space="preserve">確度:低。氷河期名を維持。掲載は2-3月中心=要確認。県ページ更新2/19は期間外</t>
  </si>
  <si>
    <t xml:space="preserve">富山労働局（就職氷河期世代活躍支援PF）</t>
  </si>
  <si>
    <t xml:space="preserve">就職氷河期世代専門相談窓口・参加企業募集</t>
  </si>
  <si>
    <t xml:space="preserve">https://www.zinzai-kikaku.jp/toyama-hyogaki/</t>
  </si>
  <si>
    <t xml:space="preserve">確度:低。氷河期名を維持。常設。期間内の個別告知を要確認</t>
  </si>
  <si>
    <t xml:space="preserve">確度:低。ジョブカフェ石川は35歳未満中心。要手動確認</t>
  </si>
  <si>
    <t xml:space="preserve">中高年世代向けキャリアデザインセミナー＋企業説明会・オンライン交流会</t>
  </si>
  <si>
    <t xml:space="preserve">https://www.pref.fukui.lg.jp/doc/rousei/kyu-shoku/hyougakishien.html</t>
  </si>
  <si>
    <t xml:space="preserve">確度:低。氷河期ページ内に中高年セミナー告知。開催日を要確認</t>
  </si>
  <si>
    <t xml:space="preserve">確度:低。就業支援センターは能力開発セミナー中心。要手動確認</t>
  </si>
  <si>
    <t xml:space="preserve">確度:低。要手動確認</t>
  </si>
  <si>
    <t xml:space="preserve">確度:低。県就職支援は学生中心。要手動確認</t>
  </si>
  <si>
    <t xml:space="preserve">岡山市</t>
  </si>
  <si>
    <t xml:space="preserve">就職氷河期世代（36～51歳）の正規雇用に向けた求職活動支援（個別相談・スキル向上研修）</t>
  </si>
  <si>
    <t xml:space="preserve">https://www.city.okayama.jp/kurashi/0000036693.html</t>
  </si>
  <si>
    <t xml:space="preserve">確度:低。氷河期明記。掲載日要確認（過年度情報併載）</t>
  </si>
  <si>
    <t xml:space="preserve">広島県（中高年世代活躍応援プロジェクト広島県協議会／旧氷河期PF）</t>
  </si>
  <si>
    <t xml:space="preserve">わーくわくネット中高年（ミドルシニア）支援・氷河期交付金事業</t>
  </si>
  <si>
    <t xml:space="preserve">https://www.pref.hiroshima.lg.jp/site/work2/hyougaki.html</t>
  </si>
  <si>
    <t xml:space="preserve">確度:低。中高年へ改組も県は氷河期ページ併存。期間内の新規告知を要確認</t>
  </si>
  <si>
    <t xml:space="preserve">香川県（就職氷河期世代活躍支援かがわPF）</t>
  </si>
  <si>
    <t xml:space="preserve">スキルUPセミナー・求職者と企業の交流会・集中講座</t>
  </si>
  <si>
    <t xml:space="preserve">https://www.pref.kagawa.lg.jp/rosei/koyo/taisaku/sonota/syusyokuhyogaki.html</t>
  </si>
  <si>
    <t xml:space="preserve">確度:低。氷河期名を維持。期間内の個別開催日を要確認</t>
  </si>
  <si>
    <t xml:space="preserve">確度:低。ジョブカフェこうちは学生中心。要手動確認</t>
  </si>
  <si>
    <t xml:space="preserve">福岡県中高年就職支援センター</t>
  </si>
  <si>
    <t xml:space="preserve">職種別セミナー・各種就職支援（4/13〜5/1に複数のNEW告知）</t>
  </si>
  <si>
    <t xml:space="preserve">https://www.tsc-f.net/</t>
  </si>
  <si>
    <t xml:space="preserve">確度:中。氷河期明記センター。4/13・4/20・4/23・4/28・5/1にNEW告知が複数（期間内）</t>
  </si>
  <si>
    <t xml:space="preserve">長崎県（ながさき就職氷河期世代活躍支援PF）</t>
  </si>
  <si>
    <t xml:space="preserve">就職氷河期世代支援サイト（相談窓口・訓練・支援施策の周知）</t>
  </si>
  <si>
    <t xml:space="preserve">https://www.pref.nagasaki.jp/bunrui/shigoto-sangyo/rodo/hyougaki/</t>
  </si>
  <si>
    <t xml:space="preserve">確度:低。氷河期名を維持。期間内の新規告知を要確認</t>
  </si>
  <si>
    <t xml:space="preserve">熊本県（くまジョブ）</t>
  </si>
  <si>
    <t xml:space="preserve">就職氷河期世代の就労支援（キャリアカウンセリング等）</t>
  </si>
  <si>
    <t xml:space="preserve">https://www.pref.kumamoto.jp/soshiki/62/132230.html</t>
  </si>
  <si>
    <t xml:space="preserve">（4/10–6/12の県固有の氷河期/中高年告知は未確認）</t>
  </si>
  <si>
    <t xml:space="preserve">確度:低。大分市の氷河期セミナーは過年度。要手動確認</t>
  </si>
  <si>
    <t xml:space="preserve">鹿児島県（35就労チャレンジ）</t>
  </si>
  <si>
    <t xml:space="preserve">長期無業・不安定就労状態の方等の活躍支援（氷河期含む幅広い世代へ拡充）</t>
  </si>
  <si>
    <t xml:space="preserve">https://www.pref.kagoshima.jp/af04/sangyo-rodo/rodo/koyoshien/hyougakisien.html</t>
  </si>
  <si>
    <t xml:space="preserve">確度:低。氷河期支援を拡充・改称。期間内の新規告知を要確認</t>
  </si>
  <si>
    <t xml:space="preserve">沖縄県（県キャリアセンター）</t>
  </si>
  <si>
    <t xml:space="preserve">就職氷河期世代支援（専門相談窓口・各種セミナー）</t>
  </si>
  <si>
    <t xml:space="preserve">https://www.pref.okinawa.jp/site/shoko/koyo/hyougakisien.html</t>
  </si>
  <si>
    <t xml:space="preserve">東京都（しごとセンター ミドルコーナー／はたらくネット）</t>
  </si>
  <si>
    <t xml:space="preserve">就職氷河期世代等安定就業サポート助成金・ミドル世代就職フェア・特別支援窓口</t>
  </si>
  <si>
    <t xml:space="preserve">https://www.hataraku.metro.tokyo.lg.jp/seiki-koyo/kigyou/hyogaki/</t>
  </si>
  <si>
    <t xml:space="preserve">確度:中。都は氷河期ブランドを強く維持（助成金・しごとフェア・専門窓口）。個別開催日/告知日を要確認</t>
  </si>
  <si>
    <t xml:space="preserve">神奈川県（かながわjobフェア）</t>
  </si>
  <si>
    <t xml:space="preserve">かながわjobフェア（6/30開催回・ミドル含む就職転職者向け面接会＋セミナー）</t>
  </si>
  <si>
    <t xml:space="preserve">https://www.pref.kanagawa.jp/osirase/0607/kanagawa-gosetsu/event/</t>
  </si>
  <si>
    <t xml:space="preserve">【6/13以降分】確度:中。6/30開催（期間内）。掲載日が確定できず未計上</t>
  </si>
  <si>
    <t xml:space="preserve">千葉市</t>
  </si>
  <si>
    <t xml:space="preserve">国・県と連携した就職面接会（毎年6月頃開催・氷河期含むミドル）</t>
  </si>
  <si>
    <t xml:space="preserve">https://www.city.chiba.jp/keizainosei/keizai/koyosuishin/shuuroushousai.html</t>
  </si>
  <si>
    <t xml:space="preserve">【6/13以降分】確度:低。6月頃の常設行事。掲載日・確定日要確認のため未計上</t>
  </si>
  <si>
    <t xml:space="preserve">福岡県（就業支援課／中高年・高齢者支援係）</t>
  </si>
  <si>
    <t xml:space="preserve">県内4地区で「中高年向け合同企業説明会」を開催</t>
  </si>
  <si>
    <t xml:space="preserve">https://www.pref.fukuoka.lg.jp/soshiki/4610114/</t>
  </si>
  <si>
    <t xml:space="preserve">【6/13以降分】確度:高。県庁6/17更新で告知（期間内）</t>
  </si>
  <si>
    <t xml:space="preserve">A</t>
  </si>
  <si>
    <t xml:space="preserve">中高年世代を対象とした手当付きインターンシップを実施</t>
  </si>
  <si>
    <t xml:space="preserve">確度:高。県庁6/4更新で告知（期間内）</t>
  </si>
  <si>
    <t xml:space="preserve">東京都（報道発表）</t>
  </si>
  <si>
    <t xml:space="preserve">令和8年度 就職氷河期世代を対象とした東京都職員採用試験（1類B・3類）試験案内の公表</t>
  </si>
  <si>
    <t xml:space="preserve">https://www.metro.tokyo.lg.jp/information/press/2026/05/2026052913</t>
  </si>
  <si>
    <t xml:space="preserve">出典:ユーザーGoogleアラート（取得5/30）。報道発表日5/29</t>
  </si>
  <si>
    <r>
      <rPr>
        <sz val="10"/>
        <rFont val="Meiryo"/>
        <family val="0"/>
        <charset val="1"/>
      </rPr>
      <t xml:space="preserve">Google</t>
    </r>
    <r>
      <rPr>
        <sz val="10"/>
        <rFont val="Noto Sans CJK SC"/>
        <family val="2"/>
      </rPr>
      <t xml:space="preserve">アラート</t>
    </r>
  </si>
  <si>
    <t xml:space="preserve">あり</t>
  </si>
  <si>
    <r>
      <rPr>
        <sz val="10"/>
        <rFont val="Meiryo"/>
        <family val="0"/>
        <charset val="1"/>
      </rPr>
      <t xml:space="preserve">R8</t>
    </r>
    <r>
      <rPr>
        <sz val="10"/>
        <rFont val="Noto Sans CJK SC"/>
        <family val="2"/>
      </rPr>
      <t xml:space="preserve">確定</t>
    </r>
  </si>
  <si>
    <t xml:space="preserve">東京都（産業労働局）</t>
  </si>
  <si>
    <t xml:space="preserve">（新規）バス事業者人材開発支援奨励金 受付開始（氷河期世代2人以上採用で特別加算）</t>
  </si>
  <si>
    <t xml:space="preserve">https://www.metro.tokyo.lg.jp/information/press/2026/05/2026052911</t>
  </si>
  <si>
    <t xml:space="preserve">出典:Googleアラート。企業向け助成だが氷河期明記のため狭義。報道発表日5/29</t>
  </si>
  <si>
    <t xml:space="preserve">徳島県（人事委員会）</t>
  </si>
  <si>
    <t xml:space="preserve">【就職氷河期世代】徳島県職員採用試験案内（令和8年度）※同日に例題も公表</t>
  </si>
  <si>
    <t xml:space="preserve">https://www.pref.tokushima.lg.jp/saiyou/docs/7313553/</t>
  </si>
  <si>
    <t xml:space="preserve">出典:Googleアラート→県採用サイト新着情報で6/1掲載を確認</t>
  </si>
  <si>
    <t xml:space="preserve">【企画提案募集】令和8年度就職氷河期世代等支援加速化業務（参加表明書期限5/27）</t>
  </si>
  <si>
    <t xml:space="preserve">https://www.pref.aomori.lg.jp/soshiki/kodomo/wakamono/r8_hyogakishienkikakuteian_01.html</t>
  </si>
  <si>
    <t xml:space="preserve">出典:Googleアラート。告知日=アラート取得日（掲載確認日）。実掲載日はこれ以前・要精査／旧・告知日欄の値2026-05-11はアラート取得日等のため確度Cとして未計上化／【C2】国の氷河期加速化交付金は令和6年度終了・令和7年4月共生共助へ移管。本件は交付金終了後の県独自/移行事業＝例外</t>
  </si>
  <si>
    <t xml:space="preserve">「令和8年度とちぎ中高年世代活躍応援プロジェクト協議会」の開催について（報道発表・議題に氷河期支援施策の実施状況）</t>
  </si>
  <si>
    <t xml:space="preserve">https://www.pref.tochigi.lg.jp/f06/houdou/houdou/2026tyuukounenn.html</t>
  </si>
  <si>
    <t xml:space="preserve">【6/13以降分】出典:Googleアラート。告知日=取得日近似・報道発表日要精査／旧・告知日欄の値2026-06-22はアラート取得日等のため確度Cとして未計上化</t>
  </si>
  <si>
    <t xml:space="preserve">座学と就業体験の一体的実施（若年＋氷河期含む中高年の求職者対象）</t>
  </si>
  <si>
    <t xml:space="preserve">https://www.pref.hokkaido.lg.jp/kz/rkr/zagaku.html</t>
  </si>
  <si>
    <t xml:space="preserve">出典:Googleアラート（取得6/12）。掲載日不明のため未計上・要精査</t>
  </si>
  <si>
    <t xml:space="preserve">千葉県（人事委員会）</t>
  </si>
  <si>
    <t xml:space="preserve">就職氷河期世代を対象とした採用選考考査（社会人採用の1区分。R7は11/9・12/20実施）</t>
  </si>
  <si>
    <t xml:space="preserve">https://www.pref.chiba.lg.jp/jinji/ninyou/saiyoushiken/hyougaki-sennko.html</t>
  </si>
  <si>
    <t xml:space="preserve">県に氷河期区分あり（毎年実施）。確認できた日程は令和7年度（11/9・12/20）。令和8年度分は未掲載＝継続可能性。掲載日は秋想定で対象期間外</t>
  </si>
  <si>
    <t xml:space="preserve">継続可能性</t>
  </si>
  <si>
    <t xml:space="preserve">北海道（人事委員会）</t>
  </si>
  <si>
    <t xml:space="preserve">令和8年度北海道行政職員等採用試験「経験不問試験（就職氷河期世代対象）」</t>
  </si>
  <si>
    <t xml:space="preserve">https://www.pref.hokkaido.lg.jp/hj/nny/242793.html</t>
  </si>
  <si>
    <t xml:space="preserve">氷河期枠あり（経験不問試験）。総合案内は2月中旬公表・氷河期区分の試験案内の期間内掲載日は要確認のため確度C・未計上。実施県数には計上</t>
  </si>
  <si>
    <t xml:space="preserve">宮城県（人事委員会）</t>
  </si>
  <si>
    <t xml:space="preserve">宮城県職員採用試験（就職氷河期世代枠）令和8年度 氷河期枠試験案内ページ</t>
  </si>
  <si>
    <t xml:space="preserve">https://www.pref.miyagi.jp/site/saiyou/shikenannai-syusyokuhyougaki.html</t>
  </si>
  <si>
    <t xml:space="preserve">氷河期枠の専用試験案内ページあり。R8実施概要も直近更新。氷河期区分試験案内の期間内掲載日は要精査→実施県数に計上（掲載日ベースは未計上）</t>
  </si>
  <si>
    <t xml:space="preserve">青森県（人事委員会）</t>
  </si>
  <si>
    <t xml:space="preserve">青森県職員採用試験（短大・高卒程度ほか）令和8年度</t>
  </si>
  <si>
    <t xml:space="preserve">https://www.pref.aomori.lg.jp/soshiki/j-kanri/tandai_kousotu-shiken_00.html</t>
  </si>
  <si>
    <t xml:space="preserve">試験案内公表日7/3＝期間外。氷河期枠の期間内アクティブ確認できず→実施県数は未計上（期間外）</t>
  </si>
  <si>
    <t xml:space="preserve">（国）</t>
  </si>
  <si>
    <t xml:space="preserve">国の機関</t>
  </si>
  <si>
    <t xml:space="preserve">人事院（国家公務員）</t>
  </si>
  <si>
    <r>
      <rPr>
        <sz val="10"/>
        <rFont val="Meiryo"/>
        <family val="0"/>
        <charset val="1"/>
      </rPr>
      <t xml:space="preserve">2026</t>
    </r>
    <r>
      <rPr>
        <sz val="10"/>
        <rFont val="Noto Sans CJK SC"/>
        <family val="2"/>
      </rPr>
      <t xml:space="preserve">年度 国家公務員中途採用者選考試験（就職氷河期世代）実施</t>
    </r>
  </si>
  <si>
    <t xml:space="preserve">https://www.jinji.go.jp/saiyo/siken/senkou/hyougaki.html</t>
  </si>
  <si>
    <r>
      <rPr>
        <sz val="10"/>
        <rFont val="Meiryo"/>
        <family val="0"/>
        <charset val="1"/>
      </rPr>
      <t xml:space="preserve">2026</t>
    </r>
    <r>
      <rPr>
        <sz val="10"/>
        <rFont val="Noto Sans CJK SC"/>
        <family val="2"/>
      </rPr>
      <t xml:space="preserve">年度実施・受験案内公表済み、</t>
    </r>
    <r>
      <rPr>
        <sz val="10"/>
        <rFont val="Meiryo"/>
        <family val="0"/>
        <charset val="1"/>
      </rPr>
      <t xml:space="preserve">6/9</t>
    </r>
    <r>
      <rPr>
        <sz val="10"/>
        <rFont val="Noto Sans CJK SC"/>
        <family val="2"/>
      </rPr>
      <t xml:space="preserve">に採用予定機関追加＝期間内アクティブ。当初公表日未確定のため掲載日ベースは確度</t>
    </r>
    <r>
      <rPr>
        <sz val="10"/>
        <rFont val="Meiryo"/>
        <family val="0"/>
        <charset val="1"/>
      </rPr>
      <t xml:space="preserve">C</t>
    </r>
    <r>
      <rPr>
        <sz val="10"/>
        <rFont val="Noto Sans CJK SC"/>
        <family val="2"/>
      </rPr>
      <t xml:space="preserve">。都道府県実施県数には非計上（国分）</t>
    </r>
  </si>
  <si>
    <t xml:space="preserve">神奈川県（人事委員会）</t>
  </si>
  <si>
    <t xml:space="preserve">令和8年度採用に「中途（キャリアフリー）行政」区分（氷河期明示枠は確認できず）</t>
  </si>
  <si>
    <t xml:space="preserve">https://www.pref.kanagawa.jp/docs/s3u/saiyou/saiyoujyouhou.html</t>
  </si>
  <si>
    <t xml:space="preserve">「就職氷河期世代」明示の採用枠は確認できず。中途＝キャリアフリーへ名称移行の可能性（採用面での看板架け替え）。実施県数は未計上</t>
  </si>
  <si>
    <t xml:space="preserve">富山県（人事委員会）</t>
  </si>
  <si>
    <t xml:space="preserve">富山県職員採用に氷河期世代対象区分（39〜53歳）を設置</t>
  </si>
  <si>
    <t xml:space="preserve">https://www.pref.toyama.jp/sections/0300/recruit/</t>
  </si>
  <si>
    <t xml:space="preserve">氷河期枠あり（確実）。令和8年度実施＝あり。試験案内の期間内公表は要精査（期間内アクティブは未確認）</t>
  </si>
  <si>
    <t xml:space="preserve">福井県（人事委員会）</t>
  </si>
  <si>
    <t xml:space="preserve">令和8年度福井県職員採用試験案内（アピール枠・職務経験者枠等）</t>
  </si>
  <si>
    <t xml:space="preserve">https://info.pref.fukui.lg.jp/jinji-i/recruit/shikeninfo/shikeninfo.html</t>
  </si>
  <si>
    <t xml:space="preserve">試験案内の提出期限3/27＝公表は3月（期間外）。氷河期明示枠は要確認。期間内アクティブ非該当</t>
  </si>
  <si>
    <t xml:space="preserve">石川県（人事委員会）</t>
  </si>
  <si>
    <t xml:space="preserve">令和8年度石川県職員採用（職務経験者枠等・3/2公表）</t>
  </si>
  <si>
    <t xml:space="preserve">https://www.pref.ishikawa.jp/jinjiiin/exam/index.html</t>
  </si>
  <si>
    <t xml:space="preserve">職務経験者枠あり・氷河期明示枠は確認できず。3/2公表＝期間外。期間内アクティブ非該当</t>
  </si>
  <si>
    <t xml:space="preserve">静岡県（人事委員会）</t>
  </si>
  <si>
    <t xml:space="preserve">就職氷河期世代を対象とした県職員採用試験（専用ページあり。確認できたのは令和6年度分）</t>
  </si>
  <si>
    <t xml:space="preserve">https://www.pref.shizuoka.jp/kensei/saiyoinfo/employ/shikenkubun/1032740.html</t>
  </si>
  <si>
    <t xml:space="preserve">県人事委員会に氷河期専用区分あり（毎年）。確認できた日程は令和6年度（R6.11合格発表）。令和8年度分は未掲載＝継続可能性</t>
  </si>
  <si>
    <t xml:space="preserve">（国／制度）</t>
  </si>
  <si>
    <t xml:space="preserve">内閣官房・内閣府</t>
  </si>
  <si>
    <t xml:space="preserve">「地域就職氷河期世代支援加速化交付金」を令和8年度から「社会参加活躍支援等孤独・孤立対策推進交付金」に統合・改称（補助率引上げ）</t>
  </si>
  <si>
    <t xml:space="preserve">https://www.cas.go.jp/jp/seisaku/shushoku_hyogaki_shien/kankeikakuryokaigi/pdf/20250603_kettei.pdf</t>
  </si>
  <si>
    <t xml:space="preserve">★構造的発見：交付金の費目名からも「氷河期」が消える。告知・採用に続く第三の看板架け替え（予算費目レベル）。関係閣僚会議2025/6/3決定文書が出典</t>
  </si>
  <si>
    <t xml:space="preserve">静岡県職員採用に氷河期枠の可能性（KoumuWIN一覧に県・警察・公立学校が掲載）</t>
  </si>
  <si>
    <t xml:space="preserve">https://www.pref.shizuoka.jp/kensei/saiyo/</t>
  </si>
  <si>
    <t xml:space="preserve">氷河期枠の実施候補（二次情報）。令和8年度・期間内は一次未確認のため実施フラグ非付与・要精査</t>
  </si>
  <si>
    <t xml:space="preserve">令和8年度「就職氷河期世代等安定就業サポート助成金」第1回申請受付開始（5/1〜・最大240万円・対象3→5人拡充）</t>
  </si>
  <si>
    <t xml:space="preserve">助成</t>
  </si>
  <si>
    <t xml:space="preserve">https://www.metro.tokyo.lg.jp/information/press/2026/04/2026041517</t>
  </si>
  <si>
    <t xml:space="preserve">報道発表4/15・受付開始5/1＝期間内アクティブ。確度A。氷河期・シニア併記のため狭義。企業向け</t>
  </si>
  <si>
    <t xml:space="preserve">秋田県（人事委員会）</t>
  </si>
  <si>
    <t xml:space="preserve">就職氷河期世代を対象とした県職員採用選考試験（確認できたのは令和6年度実績）</t>
  </si>
  <si>
    <t xml:space="preserve">https://www.pref.akita.lg.jp/pages/archive/50193</t>
  </si>
  <si>
    <t xml:space="preserve">県に氷河期区分の実績あり（令和6年度確認）。令和8年度実施は一次未確認のため実施県数(R8確定)には非計上。継続可能性として別掲</t>
  </si>
  <si>
    <t xml:space="preserve">大阪府（人事委員会）</t>
  </si>
  <si>
    <t xml:space="preserve">令和8年度採用に就職氷河期明示区分は確認できず</t>
  </si>
  <si>
    <t xml:space="preserve">https://www.pref.osaka.lg.jp/o040030/jinji/senkou/index.html</t>
  </si>
  <si>
    <t xml:space="preserve">採用は「行政（社会人等35-49歳）」の年齢枠で、就職氷河期明示区分は確認できず（B区分止まり）</t>
  </si>
  <si>
    <t xml:space="preserve">確認済・不明</t>
  </si>
  <si>
    <t xml:space="preserve">兵庫県（人事委員会）</t>
  </si>
  <si>
    <t xml:space="preserve">https://web.pref.hyogo.lg.jp/ji01/pc01_000000074.html</t>
  </si>
  <si>
    <t xml:space="preserve">令和8年度は通常枠・技術系春日程を確認。氷河期明示区分は一次で確認できず</t>
  </si>
  <si>
    <t xml:space="preserve">京都府（人事委員会）</t>
  </si>
  <si>
    <t xml:space="preserve">https://www.pref.kyoto.jp/jinji-i/</t>
  </si>
  <si>
    <t xml:space="preserve">氷河期明示区分は一次で確認できず</t>
  </si>
  <si>
    <t xml:space="preserve">滋賀県（人事委員会）</t>
  </si>
  <si>
    <t xml:space="preserve">https://www.pref.shiga.lg.jp/kensei/saiyou/</t>
  </si>
  <si>
    <t xml:space="preserve">奈良県（人事委員会）</t>
  </si>
  <si>
    <t xml:space="preserve">https://www.pref.nara.jp/1780.htm</t>
  </si>
  <si>
    <t xml:space="preserve">和歌山県（人事委員会）</t>
  </si>
  <si>
    <t xml:space="preserve">https://www.pref.wakayama.lg.jp/prefg/000200/</t>
  </si>
  <si>
    <t xml:space="preserve">広島県（人事委員会）</t>
  </si>
  <si>
    <t xml:space="preserve">https://www.pref.hiroshima.lg.jp/site/jinji/</t>
  </si>
  <si>
    <t xml:space="preserve">県本体は令和8年度の氷河期明示区分を一次確認できず。※参考：広島市（政令市）は令和7年度に氷河期対象採用試験を実施</t>
  </si>
  <si>
    <t xml:space="preserve">岡山県（人事委員会）</t>
  </si>
  <si>
    <t xml:space="preserve">https://www.pref.okayama.jp/page/jinji.html</t>
  </si>
  <si>
    <t xml:space="preserve">山口県（人事委員会）</t>
  </si>
  <si>
    <t xml:space="preserve">https://www.pref.yamaguchi.lg.jp/soshiki/38/</t>
  </si>
  <si>
    <t xml:space="preserve">鳥取県（人事委員会）</t>
  </si>
  <si>
    <t xml:space="preserve">https://www.pref.tottori.lg.jp/jinjiiinkai/</t>
  </si>
  <si>
    <t xml:space="preserve">島根県（人事委員会）</t>
  </si>
  <si>
    <t xml:space="preserve">https://www.pref.shimane.lg.jp/admin/pref/saiyo/</t>
  </si>
  <si>
    <t xml:space="preserve">鹿児島県（人事委員会）</t>
  </si>
  <si>
    <t xml:space="preserve">令和8年度鹿児島県職員採用試験（短大卒・高卒程度、就職氷河期世代対象）試験案内を配布中</t>
  </si>
  <si>
    <t xml:space="preserve">https://saiyo.pref.kagoshima.jp/</t>
  </si>
  <si>
    <t xml:space="preserve">令和8年度の氷河期明示区分を県採用サイトで確認（試験案内配布中）＝R8確定。掲載日は要精査（実施は例年夏〜秋）</t>
  </si>
  <si>
    <t xml:space="preserve">香川県（人事委員会）</t>
  </si>
  <si>
    <t xml:space="preserve">https://www.pref.kagawa.lg.jp/jinjii/</t>
  </si>
  <si>
    <t xml:space="preserve">氷河期明示区分は一次で確認できず（6月末時点・令和8年度分は未掲載の可能性）</t>
  </si>
  <si>
    <t xml:space="preserve">愛媛県（人事委員会）</t>
  </si>
  <si>
    <t xml:space="preserve">https://www.pref.ehime.jp/jinji/</t>
  </si>
  <si>
    <t xml:space="preserve">高知県（人事委員会）</t>
  </si>
  <si>
    <t xml:space="preserve">https://www.pref.kochi.lg.jp/soshiki/420901/</t>
  </si>
  <si>
    <t xml:space="preserve">福岡県（人事委員会）</t>
  </si>
  <si>
    <t xml:space="preserve">https://www.pref.fukuoka.lg.jp/somujinji/</t>
  </si>
  <si>
    <t xml:space="preserve">佐賀県（人事委員会）</t>
  </si>
  <si>
    <t xml:space="preserve">https://www.pref.saga.lg.jp/jinjiiinkai/</t>
  </si>
  <si>
    <t xml:space="preserve">長崎県（人事委員会）</t>
  </si>
  <si>
    <t xml:space="preserve">https://www.pref.nagasaki.jp/section/jinjiinkai/</t>
  </si>
  <si>
    <t xml:space="preserve">熊本県（人事委員会）</t>
  </si>
  <si>
    <t xml:space="preserve">https://www.pref.kumamoto.jp/soshiki/151/</t>
  </si>
  <si>
    <t xml:space="preserve">大分県（人事委員会）</t>
  </si>
  <si>
    <t xml:space="preserve">https://www.pref.oita.jp/site/jinjiiinkai/</t>
  </si>
  <si>
    <t xml:space="preserve">宮崎県（人事委員会）</t>
  </si>
  <si>
    <t xml:space="preserve">https://www.pref.miyazaki.lg.jp/jinji-shokuin/</t>
  </si>
  <si>
    <t xml:space="preserve">沖縄県（人事委員会）</t>
  </si>
  <si>
    <t xml:space="preserve">https://www.pref.okinawa.jp/jinji/</t>
  </si>
  <si>
    <t xml:space="preserve">汎用検索クエリ</t>
  </si>
  <si>
    <t xml:space="preserve">補足チェック先</t>
  </si>
  <si>
    <t xml:space="preserve">北海道 (就職氷河期世代 OR 中高年 OR ミドル) (採用 OR セミナー OR 相談窓口 OR 募集 OR 説明会) 2026</t>
  </si>
  <si>
    <t xml:space="preserve">北海道公式サイト「報道発表/お知らせ」＋管轄労働局/ハローワークのイベント欄＋県就労支援サイト</t>
  </si>
  <si>
    <t xml:space="preserve">青森県 (就職氷河期世代 OR 中高年 OR ミドル) (採用 OR セミナー OR 相談窓口 OR 募集 OR 説明会) 2026</t>
  </si>
  <si>
    <t xml:space="preserve">青森県公式サイト「報道発表/お知らせ」＋管轄労働局/ハローワークのイベント欄＋県就労支援サイト</t>
  </si>
  <si>
    <t xml:space="preserve">岩手県 (就職氷河期世代 OR 中高年 OR ミドル) (採用 OR セミナー OR 相談窓口 OR 募集 OR 説明会) 2026</t>
  </si>
  <si>
    <t xml:space="preserve">岩手県公式サイト「報道発表/お知らせ」＋管轄労働局/ハローワークのイベント欄＋県就労支援サイト</t>
  </si>
  <si>
    <t xml:space="preserve">宮城県 (就職氷河期世代 OR 中高年 OR ミドル) (採用 OR セミナー OR 相談窓口 OR 募集 OR 説明会) 2026</t>
  </si>
  <si>
    <t xml:space="preserve">宮城県公式サイト「報道発表/お知らせ」＋管轄労働局/ハローワークのイベント欄＋県就労支援サイト</t>
  </si>
  <si>
    <t xml:space="preserve">秋田県 (就職氷河期世代 OR 中高年 OR ミドル) (採用 OR セミナー OR 相談窓口 OR 募集 OR 説明会) 2026</t>
  </si>
  <si>
    <t xml:space="preserve">秋田県公式サイト「報道発表/お知らせ」＋管轄労働局/ハローワークのイベント欄＋県就労支援サイト</t>
  </si>
  <si>
    <t xml:space="preserve">山形県 (就職氷河期世代 OR 中高年 OR ミドル) (採用 OR セミナー OR 相談窓口 OR 募集 OR 説明会) 2026</t>
  </si>
  <si>
    <t xml:space="preserve">山形県公式サイト「報道発表/お知らせ」＋管轄労働局/ハローワークのイベント欄＋県就労支援サイト</t>
  </si>
  <si>
    <t xml:space="preserve">福島県 (就職氷河期世代 OR 中高年 OR ミドル) (採用 OR セミナー OR 相談窓口 OR 募集 OR 説明会) 2026</t>
  </si>
  <si>
    <t xml:space="preserve">福島県公式サイト「報道発表/お知らせ」＋管轄労働局/ハローワークのイベント欄＋県就労支援サイト</t>
  </si>
  <si>
    <t xml:space="preserve">茨城県 (就職氷河期世代 OR 中高年 OR ミドル) (採用 OR セミナー OR 相談窓口 OR 募集 OR 説明会) 2026</t>
  </si>
  <si>
    <t xml:space="preserve">茨城県公式サイト「報道発表/お知らせ」＋管轄労働局/ハローワークのイベント欄＋県就労支援サイト</t>
  </si>
  <si>
    <t xml:space="preserve">栃木県 (就職氷河期世代 OR 中高年 OR ミドル) (採用 OR セミナー OR 相談窓口 OR 募集 OR 説明会) 2026</t>
  </si>
  <si>
    <t xml:space="preserve">栃木県公式サイト「報道発表/お知らせ」＋管轄労働局/ハローワークのイベント欄＋県就労支援サイト</t>
  </si>
  <si>
    <t xml:space="preserve">群馬県 (就職氷河期世代 OR 中高年 OR ミドル) (採用 OR セミナー OR 相談窓口 OR 募集 OR 説明会) 2026</t>
  </si>
  <si>
    <t xml:space="preserve">群馬県公式サイト「報道発表/お知らせ」＋管轄労働局/ハローワークのイベント欄＋県就労支援サイト</t>
  </si>
  <si>
    <t xml:space="preserve">埼玉県 (就職氷河期世代 OR 中高年 OR ミドル) (採用 OR セミナー OR 相談窓口 OR 募集 OR 説明会) 2026</t>
  </si>
  <si>
    <t xml:space="preserve">埼玉県公式サイト「報道発表/お知らせ」＋管轄労働局/ハローワークのイベント欄＋県就労支援サイト</t>
  </si>
  <si>
    <t xml:space="preserve">千葉県 (就職氷河期世代 OR 中高年 OR ミドル) (採用 OR セミナー OR 相談窓口 OR 募集 OR 説明会) 2026</t>
  </si>
  <si>
    <t xml:space="preserve">千葉県公式サイト「報道発表/お知らせ」＋管轄労働局/ハローワークのイベント欄＋県就労支援サイト</t>
  </si>
  <si>
    <t xml:space="preserve">東京都 (就職氷河期世代 OR 中高年 OR ミドル) (採用 OR セミナー OR 相談窓口 OR 募集 OR 説明会) 2026</t>
  </si>
  <si>
    <t xml:space="preserve">東京都公式サイト「報道発表/お知らせ」＋管轄労働局/ハローワークのイベント欄＋県就労支援サイト</t>
  </si>
  <si>
    <t xml:space="preserve">神奈川県 (就職氷河期世代 OR 中高年 OR ミドル) (採用 OR セミナー OR 相談窓口 OR 募集 OR 説明会) 2026</t>
  </si>
  <si>
    <t xml:space="preserve">神奈川県公式サイト「報道発表/お知らせ」＋管轄労働局/ハローワークのイベント欄＋県就労支援サイト</t>
  </si>
  <si>
    <t xml:space="preserve">新潟県 (就職氷河期世代 OR 中高年 OR ミドル) (採用 OR セミナー OR 相談窓口 OR 募集 OR 説明会) 2026</t>
  </si>
  <si>
    <t xml:space="preserve">新潟県公式サイト「報道発表/お知らせ」＋管轄労働局/ハローワークのイベント欄＋県就労支援サイト</t>
  </si>
  <si>
    <t xml:space="preserve">富山県 (就職氷河期世代 OR 中高年 OR ミドル) (採用 OR セミナー OR 相談窓口 OR 募集 OR 説明会) 2026</t>
  </si>
  <si>
    <t xml:space="preserve">富山県公式サイト「報道発表/お知らせ」＋管轄労働局/ハローワークのイベント欄＋県就労支援サイト</t>
  </si>
  <si>
    <t xml:space="preserve">石川県 (就職氷河期世代 OR 中高年 OR ミドル) (採用 OR セミナー OR 相談窓口 OR 募集 OR 説明会) 2026</t>
  </si>
  <si>
    <t xml:space="preserve">石川県公式サイト「報道発表/お知らせ」＋管轄労働局/ハローワークのイベント欄＋県就労支援サイト</t>
  </si>
  <si>
    <t xml:space="preserve">福井県 (就職氷河期世代 OR 中高年 OR ミドル) (採用 OR セミナー OR 相談窓口 OR 募集 OR 説明会) 2026</t>
  </si>
  <si>
    <t xml:space="preserve">福井県公式サイト「報道発表/お知らせ」＋管轄労働局/ハローワークのイベント欄＋県就労支援サイト</t>
  </si>
  <si>
    <t xml:space="preserve">山梨県 (就職氷河期世代 OR 中高年 OR ミドル) (採用 OR セミナー OR 相談窓口 OR 募集 OR 説明会) 2026</t>
  </si>
  <si>
    <t xml:space="preserve">山梨県公式サイト「報道発表/お知らせ」＋管轄労働局/ハローワークのイベント欄＋県就労支援サイト</t>
  </si>
  <si>
    <t xml:space="preserve">長野県 (就職氷河期世代 OR 中高年 OR ミドル) (採用 OR セミナー OR 相談窓口 OR 募集 OR 説明会) 2026</t>
  </si>
  <si>
    <t xml:space="preserve">長野県公式サイト「報道発表/お知らせ」＋管轄労働局/ハローワークのイベント欄＋県就労支援サイト</t>
  </si>
  <si>
    <t xml:space="preserve">岐阜県 (就職氷河期世代 OR 中高年 OR ミドル) (採用 OR セミナー OR 相談窓口 OR 募集 OR 説明会) 2026</t>
  </si>
  <si>
    <t xml:space="preserve">岐阜県公式サイト「報道発表/お知らせ」＋管轄労働局/ハローワークのイベント欄＋県就労支援サイト</t>
  </si>
  <si>
    <t xml:space="preserve">静岡県 (就職氷河期世代 OR 中高年 OR ミドル) (採用 OR セミナー OR 相談窓口 OR 募集 OR 説明会) 2026</t>
  </si>
  <si>
    <t xml:space="preserve">静岡県公式サイト「報道発表/お知らせ」＋管轄労働局/ハローワークのイベント欄＋県就労支援サイト</t>
  </si>
  <si>
    <t xml:space="preserve">愛知県 (就職氷河期世代 OR 中高年 OR ミドル) (採用 OR セミナー OR 相談窓口 OR 募集 OR 説明会) 2026</t>
  </si>
  <si>
    <t xml:space="preserve">愛知県公式サイト「報道発表/お知らせ」＋管轄労働局/ハローワークのイベント欄＋県就労支援サイト</t>
  </si>
  <si>
    <t xml:space="preserve">三重県 (就職氷河期世代 OR 中高年 OR ミドル) (採用 OR セミナー OR 相談窓口 OR 募集 OR 説明会) 2026</t>
  </si>
  <si>
    <t xml:space="preserve">三重県公式サイト「報道発表/お知らせ」＋管轄労働局/ハローワークのイベント欄＋県就労支援サイト</t>
  </si>
  <si>
    <t xml:space="preserve">滋賀県 (就職氷河期世代 OR 中高年 OR ミドル) (採用 OR セミナー OR 相談窓口 OR 募集 OR 説明会) 2026</t>
  </si>
  <si>
    <t xml:space="preserve">滋賀県公式サイト「報道発表/お知らせ」＋管轄労働局/ハローワークのイベント欄＋県就労支援サイト</t>
  </si>
  <si>
    <t xml:space="preserve">京都府 (就職氷河期世代 OR 中高年 OR ミドル) (採用 OR セミナー OR 相談窓口 OR 募集 OR 説明会) 2026</t>
  </si>
  <si>
    <t xml:space="preserve">京都府公式サイト「報道発表/お知らせ」＋管轄労働局/ハローワークのイベント欄＋県就労支援サイト</t>
  </si>
  <si>
    <t xml:space="preserve">大阪府 (就職氷河期世代 OR 中高年 OR ミドル) (採用 OR セミナー OR 相談窓口 OR 募集 OR 説明会) 2026</t>
  </si>
  <si>
    <t xml:space="preserve">大阪府公式サイト「報道発表/お知らせ」＋管轄労働局/ハローワークのイベント欄＋県就労支援サイト</t>
  </si>
  <si>
    <t xml:space="preserve">兵庫県 (就職氷河期世代 OR 中高年 OR ミドル) (採用 OR セミナー OR 相談窓口 OR 募集 OR 説明会) 2026</t>
  </si>
  <si>
    <t xml:space="preserve">兵庫県公式サイト「報道発表/お知らせ」＋管轄労働局/ハローワークのイベント欄＋県就労支援サイト</t>
  </si>
  <si>
    <t xml:space="preserve">奈良県 (就職氷河期世代 OR 中高年 OR ミドル) (採用 OR セミナー OR 相談窓口 OR 募集 OR 説明会) 2026</t>
  </si>
  <si>
    <t xml:space="preserve">奈良県公式サイト「報道発表/お知らせ」＋管轄労働局/ハローワークのイベント欄＋県就労支援サイト</t>
  </si>
  <si>
    <t xml:space="preserve">和歌山県 (就職氷河期世代 OR 中高年 OR ミドル) (採用 OR セミナー OR 相談窓口 OR 募集 OR 説明会) 2026</t>
  </si>
  <si>
    <t xml:space="preserve">和歌山県公式サイト「報道発表/お知らせ」＋管轄労働局/ハローワークのイベント欄＋県就労支援サイト</t>
  </si>
  <si>
    <t xml:space="preserve">鳥取県 (就職氷河期世代 OR 中高年 OR ミドル) (採用 OR セミナー OR 相談窓口 OR 募集 OR 説明会) 2026</t>
  </si>
  <si>
    <t xml:space="preserve">鳥取県公式サイト「報道発表/お知らせ」＋管轄労働局/ハローワークのイベント欄＋県就労支援サイト</t>
  </si>
  <si>
    <t xml:space="preserve">島根県 (就職氷河期世代 OR 中高年 OR ミドル) (採用 OR セミナー OR 相談窓口 OR 募集 OR 説明会) 2026</t>
  </si>
  <si>
    <t xml:space="preserve">島根県公式サイト「報道発表/お知らせ」＋管轄労働局/ハローワークのイベント欄＋県就労支援サイト</t>
  </si>
  <si>
    <t xml:space="preserve">岡山県 (就職氷河期世代 OR 中高年 OR ミドル) (採用 OR セミナー OR 相談窓口 OR 募集 OR 説明会) 2026</t>
  </si>
  <si>
    <t xml:space="preserve">岡山県公式サイト「報道発表/お知らせ」＋管轄労働局/ハローワークのイベント欄＋県就労支援サイト</t>
  </si>
  <si>
    <t xml:space="preserve">広島県 (就職氷河期世代 OR 中高年 OR ミドル) (採用 OR セミナー OR 相談窓口 OR 募集 OR 説明会) 2026</t>
  </si>
  <si>
    <t xml:space="preserve">広島県公式サイト「報道発表/お知らせ」＋管轄労働局/ハローワークのイベント欄＋県就労支援サイト</t>
  </si>
  <si>
    <t xml:space="preserve">山口県 (就職氷河期世代 OR 中高年 OR ミドル) (採用 OR セミナー OR 相談窓口 OR 募集 OR 説明会) 2026</t>
  </si>
  <si>
    <t xml:space="preserve">山口県公式サイト「報道発表/お知らせ」＋管轄労働局/ハローワークのイベント欄＋県就労支援サイト</t>
  </si>
  <si>
    <t xml:space="preserve">徳島県 (就職氷河期世代 OR 中高年 OR ミドル) (採用 OR セミナー OR 相談窓口 OR 募集 OR 説明会) 2026</t>
  </si>
  <si>
    <t xml:space="preserve">徳島県公式サイト「報道発表/お知らせ」＋管轄労働局/ハローワークのイベント欄＋県就労支援サイト</t>
  </si>
  <si>
    <t xml:space="preserve">香川県 (就職氷河期世代 OR 中高年 OR ミドル) (採用 OR セミナー OR 相談窓口 OR 募集 OR 説明会) 2026</t>
  </si>
  <si>
    <t xml:space="preserve">香川県公式サイト「報道発表/お知らせ」＋管轄労働局/ハローワークのイベント欄＋県就労支援サイト</t>
  </si>
  <si>
    <t xml:space="preserve">愛媛県 (就職氷河期世代 OR 中高年 OR ミドル) (採用 OR セミナー OR 相談窓口 OR 募集 OR 説明会) 2026</t>
  </si>
  <si>
    <t xml:space="preserve">愛媛県公式サイト「報道発表/お知らせ」＋管轄労働局/ハローワークのイベント欄＋県就労支援サイト</t>
  </si>
  <si>
    <t xml:space="preserve">高知県 (就職氷河期世代 OR 中高年 OR ミドル) (採用 OR セミナー OR 相談窓口 OR 募集 OR 説明会) 2026</t>
  </si>
  <si>
    <t xml:space="preserve">高知県公式サイト「報道発表/お知らせ」＋管轄労働局/ハローワークのイベント欄＋県就労支援サイト</t>
  </si>
  <si>
    <t xml:space="preserve">福岡県 (就職氷河期世代 OR 中高年 OR ミドル) (採用 OR セミナー OR 相談窓口 OR 募集 OR 説明会) 2026</t>
  </si>
  <si>
    <t xml:space="preserve">福岡県公式サイト「報道発表/お知らせ」＋管轄労働局/ハローワークのイベント欄＋県就労支援サイト</t>
  </si>
  <si>
    <t xml:space="preserve">佐賀県 (就職氷河期世代 OR 中高年 OR ミドル) (採用 OR セミナー OR 相談窓口 OR 募集 OR 説明会) 2026</t>
  </si>
  <si>
    <t xml:space="preserve">佐賀県公式サイト「報道発表/お知らせ」＋管轄労働局/ハローワークのイベント欄＋県就労支援サイト</t>
  </si>
  <si>
    <t xml:space="preserve">長崎県 (就職氷河期世代 OR 中高年 OR ミドル) (採用 OR セミナー OR 相談窓口 OR 募集 OR 説明会) 2026</t>
  </si>
  <si>
    <t xml:space="preserve">長崎県公式サイト「報道発表/お知らせ」＋管轄労働局/ハローワークのイベント欄＋県就労支援サイト</t>
  </si>
  <si>
    <t xml:space="preserve">熊本県 (就職氷河期世代 OR 中高年 OR ミドル) (採用 OR セミナー OR 相談窓口 OR 募集 OR 説明会) 2026</t>
  </si>
  <si>
    <t xml:space="preserve">熊本県公式サイト「報道発表/お知らせ」＋管轄労働局/ハローワークのイベント欄＋県就労支援サイト</t>
  </si>
  <si>
    <t xml:space="preserve">大分県 (就職氷河期世代 OR 中高年 OR ミドル) (採用 OR セミナー OR 相談窓口 OR 募集 OR 説明会) 2026</t>
  </si>
  <si>
    <t xml:space="preserve">大分県公式サイト「報道発表/お知らせ」＋管轄労働局/ハローワークのイベント欄＋県就労支援サイト</t>
  </si>
  <si>
    <t xml:space="preserve">宮崎県 (就職氷河期世代 OR 中高年 OR ミドル) (採用 OR セミナー OR 相談窓口 OR 募集 OR 説明会) 2026</t>
  </si>
  <si>
    <t xml:space="preserve">宮崎県公式サイト「報道発表/お知らせ」＋管轄労働局/ハローワークのイベント欄＋県就労支援サイト</t>
  </si>
  <si>
    <t xml:space="preserve">鹿児島県 (就職氷河期世代 OR 中高年 OR ミドル) (採用 OR セミナー OR 相談窓口 OR 募集 OR 説明会) 2026</t>
  </si>
  <si>
    <t xml:space="preserve">鹿児島県公式サイト「報道発表/お知らせ」＋管轄労働局/ハローワークのイベント欄＋県就労支援サイト</t>
  </si>
  <si>
    <t xml:space="preserve">沖縄県 (就職氷河期世代 OR 中高年 OR ミドル) (採用 OR セミナー OR 相談窓口 OR 募集 OR 説明会) 2026</t>
  </si>
  <si>
    <t xml:space="preserve">沖縄県公式サイト「報道発表/お知らせ」＋管轄労働局/ハローワークのイベント欄＋県就労支援サイト</t>
  </si>
  <si>
    <r>
      <rPr>
        <b val="true"/>
        <sz val="13"/>
        <color rgb="FF1F3864"/>
        <rFont val="Meiryo"/>
        <family val="0"/>
        <charset val="1"/>
      </rPr>
      <t xml:space="preserve">6/13</t>
    </r>
    <r>
      <rPr>
        <b val="true"/>
        <sz val="13"/>
        <color rgb="FF1F3864"/>
        <rFont val="Noto Sans CJK SC"/>
        <family val="2"/>
      </rPr>
      <t xml:space="preserve">〜</t>
    </r>
    <r>
      <rPr>
        <b val="true"/>
        <sz val="13"/>
        <color rgb="FF1F3864"/>
        <rFont val="Meiryo"/>
        <family val="0"/>
        <charset val="1"/>
      </rPr>
      <t xml:space="preserve">6/30 </t>
    </r>
    <r>
      <rPr>
        <b val="true"/>
        <sz val="13"/>
        <color rgb="FF1F3864"/>
        <rFont val="Noto Sans CJK SC"/>
        <family val="2"/>
      </rPr>
      <t xml:space="preserve">追加巡回カバレッジ（地方ブロックごとに機械確認）</t>
    </r>
  </si>
  <si>
    <t xml:space="preserve">確認状況</t>
  </si>
  <si>
    <t xml:space="preserve">結果（6/13–6/30の新規確定告知）</t>
  </si>
  <si>
    <t xml:space="preserve">確認済</t>
  </si>
  <si>
    <t xml:space="preserve">なし</t>
  </si>
  <si>
    <t xml:space="preserve">改称後/氷河期名の常設窓口・特設サイトが中心</t>
  </si>
  <si>
    <t xml:space="preserve">なし（5/12告知内の6/25合同企業説明会＝期間内イベント。既計上のため件数据え置き）</t>
  </si>
  <si>
    <t xml:space="preserve">常設プログラム/掲載日不明の候補のみ</t>
  </si>
  <si>
    <t xml:space="preserve">6/22 中高年協議会開催の報道発表（ユーザーGoogleアラート由来・計上）</t>
  </si>
  <si>
    <t xml:space="preserve">改称後の常設プログラム/掲載日不明の候補のみ（栃木は2026年度巡回セミナー告知あり・個別日未確定）</t>
  </si>
  <si>
    <t xml:space="preserve">ミドルコーナー（氷河期35-54歳特別窓口）・ミドル世代就職フェアは活発だが常設・ローリングで掲載日確定できず</t>
  </si>
  <si>
    <t xml:space="preserve">氷河期名の常設サイト・過年度セミナーが中心（新潟・富山は氷河期名を維持）</t>
  </si>
  <si>
    <t xml:space="preserve">改称後の協議会・準備中特設サイト、過年度/学生向けが中心</t>
  </si>
  <si>
    <t xml:space="preserve">県固有の期間内告知は確認できず（香川は氷河期名の常設ページのみ）</t>
  </si>
  <si>
    <t xml:space="preserve">県庁6/17「中高年向け合同企業説明会」・6/4「中高年手当付きインターンシップ」を計上（広義+2）。中高年就職支援センターも6/17更新</t>
  </si>
  <si>
    <t xml:space="preserve">改称後/氷河期名の常設窓口が中心</t>
  </si>
  <si>
    <t xml:space="preserve">※候補（神奈川6/30 jobフェア・千葉市6月面接会等）は収集ログに記録済み。掲載日確定分のみ集計に計上。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</si>
</sst>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/mm/dd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Noto Sans CJK SC"/>
      <family val="2"/>
      <charset val="1"/>
    </font>
    <font>
      <sz val="11"/>
      <name val="Meiryo"/>
      <family val="0"/>
      <charset val="1"/>
    </font>
    <font>
      <b val="true"/>
      <sz val="11"/>
      <name val="Meiryo"/>
      <family val="0"/>
      <charset val="1"/>
    </font>
    <font>
      <b val="true"/>
      <sz val="11"/>
      <name val="Noto Sans CJK SC"/>
      <family val="2"/>
      <charset val="1"/>
    </font>
    <font>
      <sz val="11"/>
      <name val="Noto Sans CJK SC"/>
      <family val="2"/>
    </font>
    <font>
      <sz val="11"/>
      <name val="Noto Sans CJK SC"/>
      <family val="2"/>
      <charset val="1"/>
    </font>
    <font>
      <b val="true"/>
      <sz val="11"/>
      <name val="Noto Sans CJK SC"/>
      <family val="2"/>
    </font>
    <font>
      <b val="true"/>
      <sz val="10"/>
      <color rgb="FF00000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Meiryo"/>
      <family val="0"/>
      <charset val="1"/>
    </font>
    <font>
      <sz val="10"/>
      <color rgb="FF000000"/>
      <name val="Noto Sans CJK SC"/>
      <family val="2"/>
    </font>
    <font>
      <sz val="1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u val="single"/>
      <sz val="10"/>
      <color rgb="FF0563C1"/>
      <name val="Meiryo"/>
      <family val="0"/>
      <charset val="1"/>
    </font>
    <font>
      <u val="single"/>
      <sz val="10"/>
      <color rgb="FF0563C1"/>
      <name val="Noto Sans CJK SC"/>
      <family val="2"/>
      <charset val="1"/>
    </font>
    <font>
      <b val="true"/>
      <sz val="12"/>
      <color rgb="FF1F3864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Meiryo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  <charset val="1"/>
    </font>
    <font>
      <sz val="9"/>
      <name val="Noto Sans CJK SC"/>
      <family val="2"/>
      <charset val="1"/>
    </font>
    <font>
      <b val="true"/>
      <sz val="11"/>
      <color rgb="FF808080"/>
      <name val="Meiryo"/>
      <family val="0"/>
      <charset val="1"/>
    </font>
    <font>
      <b val="true"/>
      <sz val="11"/>
      <color rgb="FF808080"/>
      <name val="Noto Sans CJK SC"/>
      <family val="2"/>
    </font>
    <font>
      <b val="true"/>
      <sz val="12"/>
      <color rgb="FFC00000"/>
      <name val="Noto Sans CJK SC"/>
      <family val="2"/>
      <charset val="1"/>
    </font>
    <font>
      <sz val="10"/>
      <color rgb="FFC00000"/>
      <name val="Noto Sans CJK SC"/>
      <family val="2"/>
      <charset val="1"/>
    </font>
    <font>
      <b val="true"/>
      <sz val="12"/>
      <color rgb="FFC00000"/>
      <name val="Noto Sans CJK SC"/>
      <family val="2"/>
    </font>
    <font>
      <b val="true"/>
      <sz val="12"/>
      <color rgb="FFC00000"/>
      <name val="Meiryo"/>
      <family val="0"/>
      <charset val="1"/>
    </font>
    <font>
      <b val="true"/>
      <sz val="12"/>
      <color rgb="FF80808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1"/>
      <color rgb="FFFFFFFF"/>
      <name val="Meiryo"/>
      <family val="0"/>
      <charset val="1"/>
    </font>
    <font>
      <b val="true"/>
      <sz val="10"/>
      <color rgb="FFFFFFFF"/>
      <name val="Meiryo"/>
      <family val="0"/>
      <charset val="1"/>
    </font>
    <font>
      <b val="true"/>
      <sz val="10"/>
      <color rgb="FFFFFFFF"/>
      <name val="Noto Sans CJK SC"/>
      <family val="2"/>
    </font>
    <font>
      <b val="true"/>
      <sz val="13"/>
      <color rgb="FF1F3864"/>
      <name val="Meiryo"/>
      <family val="0"/>
      <charset val="1"/>
    </font>
    <font>
      <b val="true"/>
      <sz val="13"/>
      <color rgb="FF1F3864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C6E0B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C6E0B4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pref.hokkaido.lg.jp/" TargetMode="External"/><Relationship Id="rId2" Type="http://schemas.openxmlformats.org/officeDocument/2006/relationships/hyperlink" Target="https://www.google.com/search?q=site%3Apref.hokkaido.lg.jp%20&#23601;&#32887;&#27703;&#27827;&#26399;" TargetMode="External"/><Relationship Id="rId3" Type="http://schemas.openxmlformats.org/officeDocument/2006/relationships/hyperlink" Target="https://www.google.com/search?q=site%3Apref.hokkaido.lg.jp%20%28&#23601;&#32887;&#27703;&#27827;&#26399;%20OR%20&#20013;&#39640;&#24180;%20OR%20&#12511;&#12489;&#12523;%29%20%28&#22577;&#36947;&#30330;&#34920;%20OR%20&#12362;&#30693;&#12425;&#12379;%20OR%20&#21215;&#38598;%29" TargetMode="External"/><Relationship Id="rId4" Type="http://schemas.openxmlformats.org/officeDocument/2006/relationships/hyperlink" Target="https://www.google.com/search?q=&#21271;&#28023;&#36947;%20&#21172;&#20685;&#23616;%20%28&#23601;&#32887;&#27703;&#27827;&#26399;%20OR%20&#20013;&#39640;&#24180;%29%20%28&#12475;&#12511;&#12490;&#12540;%20OR%20&#30456;&#35527;%20OR%20&#31379;&#21475;%29%202026" TargetMode="External"/><Relationship Id="rId5" Type="http://schemas.openxmlformats.org/officeDocument/2006/relationships/hyperlink" Target="https://www.pref.aomori.lg.jp/" TargetMode="External"/><Relationship Id="rId6" Type="http://schemas.openxmlformats.org/officeDocument/2006/relationships/hyperlink" Target="https://www.google.com/search?q=site%3Apref.aomori.lg.jp%20&#23601;&#32887;&#27703;&#27827;&#26399;" TargetMode="External"/><Relationship Id="rId7" Type="http://schemas.openxmlformats.org/officeDocument/2006/relationships/hyperlink" Target="https://www.google.com/search?q=site%3Apref.aomori.lg.jp%20%28&#23601;&#32887;&#27703;&#27827;&#26399;%20OR%20&#20013;&#39640;&#24180;%20OR%20&#12511;&#12489;&#12523;%29%20%28&#22577;&#36947;&#30330;&#34920;%20OR%20&#12362;&#30693;&#12425;&#12379;%20OR%20&#21215;&#38598;%29" TargetMode="External"/><Relationship Id="rId8" Type="http://schemas.openxmlformats.org/officeDocument/2006/relationships/hyperlink" Target="https://www.google.com/search?q=&#38738;&#26862;&#30476;%20&#21172;&#20685;&#23616;%20%28&#23601;&#32887;&#27703;&#27827;&#26399;%20OR%20&#20013;&#39640;&#24180;%29%20%28&#12475;&#12511;&#12490;&#12540;%20OR%20&#30456;&#35527;%20OR%20&#31379;&#21475;%29%202026" TargetMode="External"/><Relationship Id="rId9" Type="http://schemas.openxmlformats.org/officeDocument/2006/relationships/hyperlink" Target="https://www.pref.iwate.jp/" TargetMode="External"/><Relationship Id="rId10" Type="http://schemas.openxmlformats.org/officeDocument/2006/relationships/hyperlink" Target="https://www.google.com/search?q=site%3Apref.iwate.jp%20&#23601;&#32887;&#27703;&#27827;&#26399;" TargetMode="External"/><Relationship Id="rId11" Type="http://schemas.openxmlformats.org/officeDocument/2006/relationships/hyperlink" Target="https://www.google.com/search?q=site%3Apref.iwate.jp%20%28&#23601;&#32887;&#27703;&#27827;&#26399;%20OR%20&#20013;&#39640;&#24180;%20OR%20&#12511;&#12489;&#12523;%29%20%28&#22577;&#36947;&#30330;&#34920;%20OR%20&#12362;&#30693;&#12425;&#12379;%20OR%20&#21215;&#38598;%29" TargetMode="External"/><Relationship Id="rId12" Type="http://schemas.openxmlformats.org/officeDocument/2006/relationships/hyperlink" Target="https://www.google.com/search?q=&#23721;&#25163;&#30476;%20&#21172;&#20685;&#23616;%20%28&#23601;&#32887;&#27703;&#27827;&#26399;%20OR%20&#20013;&#39640;&#24180;%29%20%28&#12475;&#12511;&#12490;&#12540;%20OR%20&#30456;&#35527;%20OR%20&#31379;&#21475;%29%202026" TargetMode="External"/><Relationship Id="rId13" Type="http://schemas.openxmlformats.org/officeDocument/2006/relationships/hyperlink" Target="https://www.pref.miyagi.jp/" TargetMode="External"/><Relationship Id="rId14" Type="http://schemas.openxmlformats.org/officeDocument/2006/relationships/hyperlink" Target="https://www.google.com/search?q=site%3Apref.miyagi.jp%20&#23601;&#32887;&#27703;&#27827;&#26399;" TargetMode="External"/><Relationship Id="rId15" Type="http://schemas.openxmlformats.org/officeDocument/2006/relationships/hyperlink" Target="https://www.google.com/search?q=site%3Apref.miyagi.jp%20%28&#23601;&#32887;&#27703;&#27827;&#26399;%20OR%20&#20013;&#39640;&#24180;%20OR%20&#12511;&#12489;&#12523;%29%20%28&#22577;&#36947;&#30330;&#34920;%20OR%20&#12362;&#30693;&#12425;&#12379;%20OR%20&#21215;&#38598;%29" TargetMode="External"/><Relationship Id="rId16" Type="http://schemas.openxmlformats.org/officeDocument/2006/relationships/hyperlink" Target="https://www.google.com/search?q=&#23470;&#22478;&#30476;%20&#21172;&#20685;&#23616;%20%28&#23601;&#32887;&#27703;&#27827;&#26399;%20OR%20&#20013;&#39640;&#24180;%29%20%28&#12475;&#12511;&#12490;&#12540;%20OR%20&#30456;&#35527;%20OR%20&#31379;&#21475;%29%202026" TargetMode="External"/><Relationship Id="rId17" Type="http://schemas.openxmlformats.org/officeDocument/2006/relationships/hyperlink" Target="https://www.pref.akita.lg.jp/" TargetMode="External"/><Relationship Id="rId18" Type="http://schemas.openxmlformats.org/officeDocument/2006/relationships/hyperlink" Target="https://www.google.com/search?q=site%3Apref.akita.lg.jp%20&#23601;&#32887;&#27703;&#27827;&#26399;" TargetMode="External"/><Relationship Id="rId19" Type="http://schemas.openxmlformats.org/officeDocument/2006/relationships/hyperlink" Target="https://www.google.com/search?q=site%3Apref.akita.lg.jp%20%28&#23601;&#32887;&#27703;&#27827;&#26399;%20OR%20&#20013;&#39640;&#24180;%20OR%20&#12511;&#12489;&#12523;%29%20%28&#22577;&#36947;&#30330;&#34920;%20OR%20&#12362;&#30693;&#12425;&#12379;%20OR%20&#21215;&#38598;%29" TargetMode="External"/><Relationship Id="rId20" Type="http://schemas.openxmlformats.org/officeDocument/2006/relationships/hyperlink" Target="https://www.google.com/search?q=&#31179;&#30000;&#30476;%20&#21172;&#20685;&#23616;%20%28&#23601;&#32887;&#27703;&#27827;&#26399;%20OR%20&#20013;&#39640;&#24180;%29%20%28&#12475;&#12511;&#12490;&#12540;%20OR%20&#30456;&#35527;%20OR%20&#31379;&#21475;%29%202026" TargetMode="External"/><Relationship Id="rId21" Type="http://schemas.openxmlformats.org/officeDocument/2006/relationships/hyperlink" Target="https://www.pref.yamagata.jp/" TargetMode="External"/><Relationship Id="rId22" Type="http://schemas.openxmlformats.org/officeDocument/2006/relationships/hyperlink" Target="https://www.google.com/search?q=site%3Apref.yamagata.jp%20&#23601;&#32887;&#27703;&#27827;&#26399;" TargetMode="External"/><Relationship Id="rId23" Type="http://schemas.openxmlformats.org/officeDocument/2006/relationships/hyperlink" Target="https://www.google.com/search?q=site%3Apref.yamagata.jp%20%28&#23601;&#32887;&#27703;&#27827;&#26399;%20OR%20&#20013;&#39640;&#24180;%20OR%20&#12511;&#12489;&#12523;%29%20%28&#22577;&#36947;&#30330;&#34920;%20OR%20&#12362;&#30693;&#12425;&#12379;%20OR%20&#21215;&#38598;%29" TargetMode="External"/><Relationship Id="rId24" Type="http://schemas.openxmlformats.org/officeDocument/2006/relationships/hyperlink" Target="https://www.google.com/search?q=&#23665;&#24418;&#30476;%20&#21172;&#20685;&#23616;%20%28&#23601;&#32887;&#27703;&#27827;&#26399;%20OR%20&#20013;&#39640;&#24180;%29%20%28&#12475;&#12511;&#12490;&#12540;%20OR%20&#30456;&#35527;%20OR%20&#31379;&#21475;%29%202026" TargetMode="External"/><Relationship Id="rId25" Type="http://schemas.openxmlformats.org/officeDocument/2006/relationships/hyperlink" Target="https://www.pref.fukushima.lg.jp/" TargetMode="External"/><Relationship Id="rId26" Type="http://schemas.openxmlformats.org/officeDocument/2006/relationships/hyperlink" Target="https://www.google.com/search?q=site%3Apref.fukushima.lg.jp%20&#23601;&#32887;&#27703;&#27827;&#26399;" TargetMode="External"/><Relationship Id="rId27" Type="http://schemas.openxmlformats.org/officeDocument/2006/relationships/hyperlink" Target="https://www.google.com/search?q=site%3Apref.fukushima.lg.jp%20%28&#23601;&#32887;&#27703;&#27827;&#26399;%20OR%20&#20013;&#39640;&#24180;%20OR%20&#12511;&#12489;&#12523;%29%20%28&#22577;&#36947;&#30330;&#34920;%20OR%20&#12362;&#30693;&#12425;&#12379;%20OR%20&#21215;&#38598;%29" TargetMode="External"/><Relationship Id="rId28" Type="http://schemas.openxmlformats.org/officeDocument/2006/relationships/hyperlink" Target="https://www.google.com/search?q=&#31119;&#23798;&#30476;%20&#21172;&#20685;&#23616;%20%28&#23601;&#32887;&#27703;&#27827;&#26399;%20OR%20&#20013;&#39640;&#24180;%29%20%28&#12475;&#12511;&#12490;&#12540;%20OR%20&#30456;&#35527;%20OR%20&#31379;&#21475;%29%202026" TargetMode="External"/><Relationship Id="rId29" Type="http://schemas.openxmlformats.org/officeDocument/2006/relationships/hyperlink" Target="https://www.pref.ibaraki.jp/" TargetMode="External"/><Relationship Id="rId30" Type="http://schemas.openxmlformats.org/officeDocument/2006/relationships/hyperlink" Target="https://www.google.com/search?q=site%3Apref.ibaraki.jp%20&#23601;&#32887;&#27703;&#27827;&#26399;" TargetMode="External"/><Relationship Id="rId31" Type="http://schemas.openxmlformats.org/officeDocument/2006/relationships/hyperlink" Target="https://www.google.com/search?q=site%3Apref.ibaraki.jp%20%28&#23601;&#32887;&#27703;&#27827;&#26399;%20OR%20&#20013;&#39640;&#24180;%20OR%20&#12511;&#12489;&#12523;%29%20%28&#22577;&#36947;&#30330;&#34920;%20OR%20&#12362;&#30693;&#12425;&#12379;%20OR%20&#21215;&#38598;%29" TargetMode="External"/><Relationship Id="rId32" Type="http://schemas.openxmlformats.org/officeDocument/2006/relationships/hyperlink" Target="https://www.google.com/search?q=&#33576;&#22478;&#30476;%20&#21172;&#20685;&#23616;%20%28&#23601;&#32887;&#27703;&#27827;&#26399;%20OR%20&#20013;&#39640;&#24180;%29%20%28&#12475;&#12511;&#12490;&#12540;%20OR%20&#30456;&#35527;%20OR%20&#31379;&#21475;%29%202026" TargetMode="External"/><Relationship Id="rId33" Type="http://schemas.openxmlformats.org/officeDocument/2006/relationships/hyperlink" Target="https://www.pref.tochigi.lg.jp/" TargetMode="External"/><Relationship Id="rId34" Type="http://schemas.openxmlformats.org/officeDocument/2006/relationships/hyperlink" Target="https://www.google.com/search?q=site%3Apref.tochigi.lg.jp%20&#23601;&#32887;&#27703;&#27827;&#26399;" TargetMode="External"/><Relationship Id="rId35" Type="http://schemas.openxmlformats.org/officeDocument/2006/relationships/hyperlink" Target="https://www.google.com/search?q=site%3Apref.tochigi.lg.jp%20%28&#23601;&#32887;&#27703;&#27827;&#26399;%20OR%20&#20013;&#39640;&#24180;%20OR%20&#12511;&#12489;&#12523;%29%20%28&#22577;&#36947;&#30330;&#34920;%20OR%20&#12362;&#30693;&#12425;&#12379;%20OR%20&#21215;&#38598;%29" TargetMode="External"/><Relationship Id="rId36" Type="http://schemas.openxmlformats.org/officeDocument/2006/relationships/hyperlink" Target="https://www.google.com/search?q=&#26627;&#26408;&#30476;%20&#21172;&#20685;&#23616;%20%28&#23601;&#32887;&#27703;&#27827;&#26399;%20OR%20&#20013;&#39640;&#24180;%29%20%28&#12475;&#12511;&#12490;&#12540;%20OR%20&#30456;&#35527;%20OR%20&#31379;&#21475;%29%202026" TargetMode="External"/><Relationship Id="rId37" Type="http://schemas.openxmlformats.org/officeDocument/2006/relationships/hyperlink" Target="https://www.pref.gunma.jp/" TargetMode="External"/><Relationship Id="rId38" Type="http://schemas.openxmlformats.org/officeDocument/2006/relationships/hyperlink" Target="https://www.google.com/search?q=site%3Apref.gunma.jp%20&#23601;&#32887;&#27703;&#27827;&#26399;" TargetMode="External"/><Relationship Id="rId39" Type="http://schemas.openxmlformats.org/officeDocument/2006/relationships/hyperlink" Target="https://www.google.com/search?q=site%3Apref.gunma.jp%20%28&#23601;&#32887;&#27703;&#27827;&#26399;%20OR%20&#20013;&#39640;&#24180;%20OR%20&#12511;&#12489;&#12523;%29%20%28&#22577;&#36947;&#30330;&#34920;%20OR%20&#12362;&#30693;&#12425;&#12379;%20OR%20&#21215;&#38598;%29" TargetMode="External"/><Relationship Id="rId40" Type="http://schemas.openxmlformats.org/officeDocument/2006/relationships/hyperlink" Target="https://www.google.com/search?q=&#32676;&#39340;&#30476;%20&#21172;&#20685;&#23616;%20%28&#23601;&#32887;&#27703;&#27827;&#26399;%20OR%20&#20013;&#39640;&#24180;%29%20%28&#12475;&#12511;&#12490;&#12540;%20OR%20&#30456;&#35527;%20OR%20&#31379;&#21475;%29%202026" TargetMode="External"/><Relationship Id="rId41" Type="http://schemas.openxmlformats.org/officeDocument/2006/relationships/hyperlink" Target="https://www.pref.saitama.lg.jp/" TargetMode="External"/><Relationship Id="rId42" Type="http://schemas.openxmlformats.org/officeDocument/2006/relationships/hyperlink" Target="https://www.google.com/search?q=site%3Apref.saitama.lg.jp%20&#23601;&#32887;&#27703;&#27827;&#26399;" TargetMode="External"/><Relationship Id="rId43" Type="http://schemas.openxmlformats.org/officeDocument/2006/relationships/hyperlink" Target="https://www.google.com/search?q=site%3Apref.saitama.lg.jp%20%28&#23601;&#32887;&#27703;&#27827;&#26399;%20OR%20&#20013;&#39640;&#24180;%20OR%20&#12511;&#12489;&#12523;%29%20%28&#22577;&#36947;&#30330;&#34920;%20OR%20&#12362;&#30693;&#12425;&#12379;%20OR%20&#21215;&#38598;%29" TargetMode="External"/><Relationship Id="rId44" Type="http://schemas.openxmlformats.org/officeDocument/2006/relationships/hyperlink" Target="https://www.google.com/search?q=&#22524;&#29577;&#30476;%20&#21172;&#20685;&#23616;%20%28&#23601;&#32887;&#27703;&#27827;&#26399;%20OR%20&#20013;&#39640;&#24180;%29%20%28&#12475;&#12511;&#12490;&#12540;%20OR%20&#30456;&#35527;%20OR%20&#31379;&#21475;%29%202026" TargetMode="External"/><Relationship Id="rId45" Type="http://schemas.openxmlformats.org/officeDocument/2006/relationships/hyperlink" Target="https://www.pref.chiba.lg.jp/" TargetMode="External"/><Relationship Id="rId46" Type="http://schemas.openxmlformats.org/officeDocument/2006/relationships/hyperlink" Target="https://www.google.com/search?q=site%3Apref.chiba.lg.jp%20&#23601;&#32887;&#27703;&#27827;&#26399;" TargetMode="External"/><Relationship Id="rId47" Type="http://schemas.openxmlformats.org/officeDocument/2006/relationships/hyperlink" Target="https://www.google.com/search?q=site%3Apref.chiba.lg.jp%20%28&#23601;&#32887;&#27703;&#27827;&#26399;%20OR%20&#20013;&#39640;&#24180;%20OR%20&#12511;&#12489;&#12523;%29%20%28&#22577;&#36947;&#30330;&#34920;%20OR%20&#12362;&#30693;&#12425;&#12379;%20OR%20&#21215;&#38598;%29" TargetMode="External"/><Relationship Id="rId48" Type="http://schemas.openxmlformats.org/officeDocument/2006/relationships/hyperlink" Target="https://www.google.com/search?q=&#21315;&#33865;&#30476;%20&#21172;&#20685;&#23616;%20%28&#23601;&#32887;&#27703;&#27827;&#26399;%20OR%20&#20013;&#39640;&#24180;%29%20%28&#12475;&#12511;&#12490;&#12540;%20OR%20&#30456;&#35527;%20OR%20&#31379;&#21475;%29%202026" TargetMode="External"/><Relationship Id="rId49" Type="http://schemas.openxmlformats.org/officeDocument/2006/relationships/hyperlink" Target="https://www.metro.tokyo.lg.jp/" TargetMode="External"/><Relationship Id="rId50" Type="http://schemas.openxmlformats.org/officeDocument/2006/relationships/hyperlink" Target="https://www.google.com/search?q=site%3Ametro.tokyo.lg.jp%20&#23601;&#32887;&#27703;&#27827;&#26399;" TargetMode="External"/><Relationship Id="rId51" Type="http://schemas.openxmlformats.org/officeDocument/2006/relationships/hyperlink" Target="https://www.google.com/search?q=site%3Ametro.tokyo.lg.jp%20%28&#23601;&#32887;&#27703;&#27827;&#26399;%20OR%20&#20013;&#39640;&#24180;%20OR%20&#12511;&#12489;&#12523;%29%20%28&#22577;&#36947;&#30330;&#34920;%20OR%20&#12362;&#30693;&#12425;&#12379;%20OR%20&#21215;&#38598;%29" TargetMode="External"/><Relationship Id="rId52" Type="http://schemas.openxmlformats.org/officeDocument/2006/relationships/hyperlink" Target="https://www.google.com/search?q=&#26481;&#20140;&#37117;%20&#21172;&#20685;&#23616;%20%28&#23601;&#32887;&#27703;&#27827;&#26399;%20OR%20&#20013;&#39640;&#24180;%29%20%28&#12475;&#12511;&#12490;&#12540;%20OR%20&#30456;&#35527;%20OR%20&#31379;&#21475;%29%202026" TargetMode="External"/><Relationship Id="rId53" Type="http://schemas.openxmlformats.org/officeDocument/2006/relationships/hyperlink" Target="https://www.pref.kanagawa.jp/" TargetMode="External"/><Relationship Id="rId54" Type="http://schemas.openxmlformats.org/officeDocument/2006/relationships/hyperlink" Target="https://www.google.com/search?q=site%3Apref.kanagawa.jp%20&#23601;&#32887;&#27703;&#27827;&#26399;" TargetMode="External"/><Relationship Id="rId55" Type="http://schemas.openxmlformats.org/officeDocument/2006/relationships/hyperlink" Target="https://www.google.com/search?q=site%3Apref.kanagawa.jp%20%28&#23601;&#32887;&#27703;&#27827;&#26399;%20OR%20&#20013;&#39640;&#24180;%20OR%20&#12511;&#12489;&#12523;%29%20%28&#22577;&#36947;&#30330;&#34920;%20OR%20&#12362;&#30693;&#12425;&#12379;%20OR%20&#21215;&#38598;%29" TargetMode="External"/><Relationship Id="rId56" Type="http://schemas.openxmlformats.org/officeDocument/2006/relationships/hyperlink" Target="https://www.google.com/search?q=&#31070;&#22856;&#24029;&#30476;%20&#21172;&#20685;&#23616;%20%28&#23601;&#32887;&#27703;&#27827;&#26399;%20OR%20&#20013;&#39640;&#24180;%29%20%28&#12475;&#12511;&#12490;&#12540;%20OR%20&#30456;&#35527;%20OR%20&#31379;&#21475;%29%202026" TargetMode="External"/><Relationship Id="rId57" Type="http://schemas.openxmlformats.org/officeDocument/2006/relationships/hyperlink" Target="https://www.pref.niigata.lg.jp/" TargetMode="External"/><Relationship Id="rId58" Type="http://schemas.openxmlformats.org/officeDocument/2006/relationships/hyperlink" Target="https://www.google.com/search?q=site%3Apref.niigata.lg.jp%20&#23601;&#32887;&#27703;&#27827;&#26399;" TargetMode="External"/><Relationship Id="rId59" Type="http://schemas.openxmlformats.org/officeDocument/2006/relationships/hyperlink" Target="https://www.google.com/search?q=site%3Apref.niigata.lg.jp%20%28&#23601;&#32887;&#27703;&#27827;&#26399;%20OR%20&#20013;&#39640;&#24180;%20OR%20&#12511;&#12489;&#12523;%29%20%28&#22577;&#36947;&#30330;&#34920;%20OR%20&#12362;&#30693;&#12425;&#12379;%20OR%20&#21215;&#38598;%29" TargetMode="External"/><Relationship Id="rId60" Type="http://schemas.openxmlformats.org/officeDocument/2006/relationships/hyperlink" Target="https://www.google.com/search?q=&#26032;&#28511;&#30476;%20&#21172;&#20685;&#23616;%20%28&#23601;&#32887;&#27703;&#27827;&#26399;%20OR%20&#20013;&#39640;&#24180;%29%20%28&#12475;&#12511;&#12490;&#12540;%20OR%20&#30456;&#35527;%20OR%20&#31379;&#21475;%29%202026" TargetMode="External"/><Relationship Id="rId61" Type="http://schemas.openxmlformats.org/officeDocument/2006/relationships/hyperlink" Target="https://www.pref.toyama.jp/" TargetMode="External"/><Relationship Id="rId62" Type="http://schemas.openxmlformats.org/officeDocument/2006/relationships/hyperlink" Target="https://www.google.com/search?q=site%3Apref.toyama.jp%20&#23601;&#32887;&#27703;&#27827;&#26399;" TargetMode="External"/><Relationship Id="rId63" Type="http://schemas.openxmlformats.org/officeDocument/2006/relationships/hyperlink" Target="https://www.google.com/search?q=site%3Apref.toyama.jp%20%28&#23601;&#32887;&#27703;&#27827;&#26399;%20OR%20&#20013;&#39640;&#24180;%20OR%20&#12511;&#12489;&#12523;%29%20%28&#22577;&#36947;&#30330;&#34920;%20OR%20&#12362;&#30693;&#12425;&#12379;%20OR%20&#21215;&#38598;%29" TargetMode="External"/><Relationship Id="rId64" Type="http://schemas.openxmlformats.org/officeDocument/2006/relationships/hyperlink" Target="https://www.google.com/search?q=&#23500;&#23665;&#30476;%20&#21172;&#20685;&#23616;%20%28&#23601;&#32887;&#27703;&#27827;&#26399;%20OR%20&#20013;&#39640;&#24180;%29%20%28&#12475;&#12511;&#12490;&#12540;%20OR%20&#30456;&#35527;%20OR%20&#31379;&#21475;%29%202026" TargetMode="External"/><Relationship Id="rId65" Type="http://schemas.openxmlformats.org/officeDocument/2006/relationships/hyperlink" Target="https://www.pref.ishikawa.lg.jp/" TargetMode="External"/><Relationship Id="rId66" Type="http://schemas.openxmlformats.org/officeDocument/2006/relationships/hyperlink" Target="https://www.google.com/search?q=site%3Apref.ishikawa.lg.jp%20&#23601;&#32887;&#27703;&#27827;&#26399;" TargetMode="External"/><Relationship Id="rId67" Type="http://schemas.openxmlformats.org/officeDocument/2006/relationships/hyperlink" Target="https://www.google.com/search?q=site%3Apref.ishikawa.lg.jp%20%28&#23601;&#32887;&#27703;&#27827;&#26399;%20OR%20&#20013;&#39640;&#24180;%20OR%20&#12511;&#12489;&#12523;%29%20%28&#22577;&#36947;&#30330;&#34920;%20OR%20&#12362;&#30693;&#12425;&#12379;%20OR%20&#21215;&#38598;%29" TargetMode="External"/><Relationship Id="rId68" Type="http://schemas.openxmlformats.org/officeDocument/2006/relationships/hyperlink" Target="https://www.google.com/search?q=&#30707;&#24029;&#30476;%20&#21172;&#20685;&#23616;%20%28&#23601;&#32887;&#27703;&#27827;&#26399;%20OR%20&#20013;&#39640;&#24180;%29%20%28&#12475;&#12511;&#12490;&#12540;%20OR%20&#30456;&#35527;%20OR%20&#31379;&#21475;%29%202026" TargetMode="External"/><Relationship Id="rId69" Type="http://schemas.openxmlformats.org/officeDocument/2006/relationships/hyperlink" Target="https://www.pref.fukui.lg.jp/" TargetMode="External"/><Relationship Id="rId70" Type="http://schemas.openxmlformats.org/officeDocument/2006/relationships/hyperlink" Target="https://www.google.com/search?q=site%3Apref.fukui.lg.jp%20&#23601;&#32887;&#27703;&#27827;&#26399;" TargetMode="External"/><Relationship Id="rId71" Type="http://schemas.openxmlformats.org/officeDocument/2006/relationships/hyperlink" Target="https://www.google.com/search?q=site%3Apref.fukui.lg.jp%20%28&#23601;&#32887;&#27703;&#27827;&#26399;%20OR%20&#20013;&#39640;&#24180;%20OR%20&#12511;&#12489;&#12523;%29%20%28&#22577;&#36947;&#30330;&#34920;%20OR%20&#12362;&#30693;&#12425;&#12379;%20OR%20&#21215;&#38598;%29" TargetMode="External"/><Relationship Id="rId72" Type="http://schemas.openxmlformats.org/officeDocument/2006/relationships/hyperlink" Target="https://www.google.com/search?q=&#31119;&#20117;&#30476;%20&#21172;&#20685;&#23616;%20%28&#23601;&#32887;&#27703;&#27827;&#26399;%20OR%20&#20013;&#39640;&#24180;%29%20%28&#12475;&#12511;&#12490;&#12540;%20OR%20&#30456;&#35527;%20OR%20&#31379;&#21475;%29%202026" TargetMode="External"/><Relationship Id="rId73" Type="http://schemas.openxmlformats.org/officeDocument/2006/relationships/hyperlink" Target="https://www.pref.yamanashi.jp/" TargetMode="External"/><Relationship Id="rId74" Type="http://schemas.openxmlformats.org/officeDocument/2006/relationships/hyperlink" Target="https://www.google.com/search?q=site%3Apref.yamanashi.jp%20&#23601;&#32887;&#27703;&#27827;&#26399;" TargetMode="External"/><Relationship Id="rId75" Type="http://schemas.openxmlformats.org/officeDocument/2006/relationships/hyperlink" Target="https://www.google.com/search?q=site%3Apref.yamanashi.jp%20%28&#23601;&#32887;&#27703;&#27827;&#26399;%20OR%20&#20013;&#39640;&#24180;%20OR%20&#12511;&#12489;&#12523;%29%20%28&#22577;&#36947;&#30330;&#34920;%20OR%20&#12362;&#30693;&#12425;&#12379;%20OR%20&#21215;&#38598;%29" TargetMode="External"/><Relationship Id="rId76" Type="http://schemas.openxmlformats.org/officeDocument/2006/relationships/hyperlink" Target="https://www.google.com/search?q=&#23665;&#26792;&#30476;%20&#21172;&#20685;&#23616;%20%28&#23601;&#32887;&#27703;&#27827;&#26399;%20OR%20&#20013;&#39640;&#24180;%29%20%28&#12475;&#12511;&#12490;&#12540;%20OR%20&#30456;&#35527;%20OR%20&#31379;&#21475;%29%202026" TargetMode="External"/><Relationship Id="rId77" Type="http://schemas.openxmlformats.org/officeDocument/2006/relationships/hyperlink" Target="https://www.pref.nagano.lg.jp/" TargetMode="External"/><Relationship Id="rId78" Type="http://schemas.openxmlformats.org/officeDocument/2006/relationships/hyperlink" Target="https://www.google.com/search?q=site%3Apref.nagano.lg.jp%20&#23601;&#32887;&#27703;&#27827;&#26399;" TargetMode="External"/><Relationship Id="rId79" Type="http://schemas.openxmlformats.org/officeDocument/2006/relationships/hyperlink" Target="https://www.google.com/search?q=site%3Apref.nagano.lg.jp%20%28&#23601;&#32887;&#27703;&#27827;&#26399;%20OR%20&#20013;&#39640;&#24180;%20OR%20&#12511;&#12489;&#12523;%29%20%28&#22577;&#36947;&#30330;&#34920;%20OR%20&#12362;&#30693;&#12425;&#12379;%20OR%20&#21215;&#38598;%29" TargetMode="External"/><Relationship Id="rId80" Type="http://schemas.openxmlformats.org/officeDocument/2006/relationships/hyperlink" Target="https://www.google.com/search?q=&#38263;&#37326;&#30476;%20&#21172;&#20685;&#23616;%20%28&#23601;&#32887;&#27703;&#27827;&#26399;%20OR%20&#20013;&#39640;&#24180;%29%20%28&#12475;&#12511;&#12490;&#12540;%20OR%20&#30456;&#35527;%20OR%20&#31379;&#21475;%29%202026" TargetMode="External"/><Relationship Id="rId81" Type="http://schemas.openxmlformats.org/officeDocument/2006/relationships/hyperlink" Target="https://www.pref.gifu.lg.jp/" TargetMode="External"/><Relationship Id="rId82" Type="http://schemas.openxmlformats.org/officeDocument/2006/relationships/hyperlink" Target="https://www.google.com/search?q=site%3Apref.gifu.lg.jp%20&#23601;&#32887;&#27703;&#27827;&#26399;" TargetMode="External"/><Relationship Id="rId83" Type="http://schemas.openxmlformats.org/officeDocument/2006/relationships/hyperlink" Target="https://www.google.com/search?q=site%3Apref.gifu.lg.jp%20%28&#23601;&#32887;&#27703;&#27827;&#26399;%20OR%20&#20013;&#39640;&#24180;%20OR%20&#12511;&#12489;&#12523;%29%20%28&#22577;&#36947;&#30330;&#34920;%20OR%20&#12362;&#30693;&#12425;&#12379;%20OR%20&#21215;&#38598;%29" TargetMode="External"/><Relationship Id="rId84" Type="http://schemas.openxmlformats.org/officeDocument/2006/relationships/hyperlink" Target="https://www.google.com/search?q=&#23696;&#38428;&#30476;%20&#21172;&#20685;&#23616;%20%28&#23601;&#32887;&#27703;&#27827;&#26399;%20OR%20&#20013;&#39640;&#24180;%29%20%28&#12475;&#12511;&#12490;&#12540;%20OR%20&#30456;&#35527;%20OR%20&#31379;&#21475;%29%202026" TargetMode="External"/><Relationship Id="rId85" Type="http://schemas.openxmlformats.org/officeDocument/2006/relationships/hyperlink" Target="https://www.pref.shizuoka.jp/" TargetMode="External"/><Relationship Id="rId86" Type="http://schemas.openxmlformats.org/officeDocument/2006/relationships/hyperlink" Target="https://www.google.com/search?q=site%3Apref.shizuoka.jp%20&#23601;&#32887;&#27703;&#27827;&#26399;" TargetMode="External"/><Relationship Id="rId87" Type="http://schemas.openxmlformats.org/officeDocument/2006/relationships/hyperlink" Target="https://www.google.com/search?q=site%3Apref.shizuoka.jp%20%28&#23601;&#32887;&#27703;&#27827;&#26399;%20OR%20&#20013;&#39640;&#24180;%20OR%20&#12511;&#12489;&#12523;%29%20%28&#22577;&#36947;&#30330;&#34920;%20OR%20&#12362;&#30693;&#12425;&#12379;%20OR%20&#21215;&#38598;%29" TargetMode="External"/><Relationship Id="rId88" Type="http://schemas.openxmlformats.org/officeDocument/2006/relationships/hyperlink" Target="https://www.google.com/search?q=&#38745;&#23713;&#30476;%20&#21172;&#20685;&#23616;%20%28&#23601;&#32887;&#27703;&#27827;&#26399;%20OR%20&#20013;&#39640;&#24180;%29%20%28&#12475;&#12511;&#12490;&#12540;%20OR%20&#30456;&#35527;%20OR%20&#31379;&#21475;%29%202026" TargetMode="External"/><Relationship Id="rId89" Type="http://schemas.openxmlformats.org/officeDocument/2006/relationships/hyperlink" Target="https://www.pref.aichi.jp/" TargetMode="External"/><Relationship Id="rId90" Type="http://schemas.openxmlformats.org/officeDocument/2006/relationships/hyperlink" Target="https://www.google.com/search?q=site%3Apref.aichi.jp%20&#23601;&#32887;&#27703;&#27827;&#26399;" TargetMode="External"/><Relationship Id="rId91" Type="http://schemas.openxmlformats.org/officeDocument/2006/relationships/hyperlink" Target="https://www.google.com/search?q=site%3Apref.aichi.jp%20%28&#23601;&#32887;&#27703;&#27827;&#26399;%20OR%20&#20013;&#39640;&#24180;%20OR%20&#12511;&#12489;&#12523;%29%20%28&#22577;&#36947;&#30330;&#34920;%20OR%20&#12362;&#30693;&#12425;&#12379;%20OR%20&#21215;&#38598;%29" TargetMode="External"/><Relationship Id="rId92" Type="http://schemas.openxmlformats.org/officeDocument/2006/relationships/hyperlink" Target="https://www.google.com/search?q=&#24859;&#30693;&#30476;%20&#21172;&#20685;&#23616;%20%28&#23601;&#32887;&#27703;&#27827;&#26399;%20OR%20&#20013;&#39640;&#24180;%29%20%28&#12475;&#12511;&#12490;&#12540;%20OR%20&#30456;&#35527;%20OR%20&#31379;&#21475;%29%202026" TargetMode="External"/><Relationship Id="rId93" Type="http://schemas.openxmlformats.org/officeDocument/2006/relationships/hyperlink" Target="https://www.pref.mie.lg.jp/" TargetMode="External"/><Relationship Id="rId94" Type="http://schemas.openxmlformats.org/officeDocument/2006/relationships/hyperlink" Target="https://www.google.com/search?q=site%3Apref.mie.lg.jp%20&#23601;&#32887;&#27703;&#27827;&#26399;" TargetMode="External"/><Relationship Id="rId95" Type="http://schemas.openxmlformats.org/officeDocument/2006/relationships/hyperlink" Target="https://www.google.com/search?q=site%3Apref.mie.lg.jp%20%28&#23601;&#32887;&#27703;&#27827;&#26399;%20OR%20&#20013;&#39640;&#24180;%20OR%20&#12511;&#12489;&#12523;%29%20%28&#22577;&#36947;&#30330;&#34920;%20OR%20&#12362;&#30693;&#12425;&#12379;%20OR%20&#21215;&#38598;%29" TargetMode="External"/><Relationship Id="rId96" Type="http://schemas.openxmlformats.org/officeDocument/2006/relationships/hyperlink" Target="https://www.google.com/search?q=&#19977;&#37325;&#30476;%20&#21172;&#20685;&#23616;%20%28&#23601;&#32887;&#27703;&#27827;&#26399;%20OR%20&#20013;&#39640;&#24180;%29%20%28&#12475;&#12511;&#12490;&#12540;%20OR%20&#30456;&#35527;%20OR%20&#31379;&#21475;%29%202026" TargetMode="External"/><Relationship Id="rId97" Type="http://schemas.openxmlformats.org/officeDocument/2006/relationships/hyperlink" Target="https://www.pref.shiga.lg.jp/" TargetMode="External"/><Relationship Id="rId98" Type="http://schemas.openxmlformats.org/officeDocument/2006/relationships/hyperlink" Target="https://www.google.com/search?q=site%3Apref.shiga.lg.jp%20&#23601;&#32887;&#27703;&#27827;&#26399;" TargetMode="External"/><Relationship Id="rId99" Type="http://schemas.openxmlformats.org/officeDocument/2006/relationships/hyperlink" Target="https://www.google.com/search?q=site%3Apref.shiga.lg.jp%20%28&#23601;&#32887;&#27703;&#27827;&#26399;%20OR%20&#20013;&#39640;&#24180;%20OR%20&#12511;&#12489;&#12523;%29%20%28&#22577;&#36947;&#30330;&#34920;%20OR%20&#12362;&#30693;&#12425;&#12379;%20OR%20&#21215;&#38598;%29" TargetMode="External"/><Relationship Id="rId100" Type="http://schemas.openxmlformats.org/officeDocument/2006/relationships/hyperlink" Target="https://www.google.com/search?q=&#28363;&#36032;&#30476;%20&#21172;&#20685;&#23616;%20%28&#23601;&#32887;&#27703;&#27827;&#26399;%20OR%20&#20013;&#39640;&#24180;%29%20%28&#12475;&#12511;&#12490;&#12540;%20OR%20&#30456;&#35527;%20OR%20&#31379;&#21475;%29%202026" TargetMode="External"/><Relationship Id="rId101" Type="http://schemas.openxmlformats.org/officeDocument/2006/relationships/hyperlink" Target="https://www.pref.kyoto.jp/" TargetMode="External"/><Relationship Id="rId102" Type="http://schemas.openxmlformats.org/officeDocument/2006/relationships/hyperlink" Target="https://www.google.com/search?q=site%3Apref.kyoto.jp%20&#23601;&#32887;&#27703;&#27827;&#26399;" TargetMode="External"/><Relationship Id="rId103" Type="http://schemas.openxmlformats.org/officeDocument/2006/relationships/hyperlink" Target="https://www.google.com/search?q=site%3Apref.kyoto.jp%20%28&#23601;&#32887;&#27703;&#27827;&#26399;%20OR%20&#20013;&#39640;&#24180;%20OR%20&#12511;&#12489;&#12523;%29%20%28&#22577;&#36947;&#30330;&#34920;%20OR%20&#12362;&#30693;&#12425;&#12379;%20OR%20&#21215;&#38598;%29" TargetMode="External"/><Relationship Id="rId104" Type="http://schemas.openxmlformats.org/officeDocument/2006/relationships/hyperlink" Target="https://www.google.com/search?q=&#20140;&#37117;&#24220;%20&#21172;&#20685;&#23616;%20%28&#23601;&#32887;&#27703;&#27827;&#26399;%20OR%20&#20013;&#39640;&#24180;%29%20%28&#12475;&#12511;&#12490;&#12540;%20OR%20&#30456;&#35527;%20OR%20&#31379;&#21475;%29%202026" TargetMode="External"/><Relationship Id="rId105" Type="http://schemas.openxmlformats.org/officeDocument/2006/relationships/hyperlink" Target="https://www.pref.osaka.lg.jp/" TargetMode="External"/><Relationship Id="rId106" Type="http://schemas.openxmlformats.org/officeDocument/2006/relationships/hyperlink" Target="https://www.google.com/search?q=site%3Apref.osaka.lg.jp%20&#23601;&#32887;&#27703;&#27827;&#26399;" TargetMode="External"/><Relationship Id="rId107" Type="http://schemas.openxmlformats.org/officeDocument/2006/relationships/hyperlink" Target="https://www.google.com/search?q=site%3Apref.osaka.lg.jp%20%28&#23601;&#32887;&#27703;&#27827;&#26399;%20OR%20&#20013;&#39640;&#24180;%20OR%20&#12511;&#12489;&#12523;%29%20%28&#22577;&#36947;&#30330;&#34920;%20OR%20&#12362;&#30693;&#12425;&#12379;%20OR%20&#21215;&#38598;%29" TargetMode="External"/><Relationship Id="rId108" Type="http://schemas.openxmlformats.org/officeDocument/2006/relationships/hyperlink" Target="https://www.google.com/search?q=&#22823;&#38442;&#24220;%20&#21172;&#20685;&#23616;%20%28&#23601;&#32887;&#27703;&#27827;&#26399;%20OR%20&#20013;&#39640;&#24180;%29%20%28&#12475;&#12511;&#12490;&#12540;%20OR%20&#30456;&#35527;%20OR%20&#31379;&#21475;%29%202026" TargetMode="External"/><Relationship Id="rId109" Type="http://schemas.openxmlformats.org/officeDocument/2006/relationships/hyperlink" Target="https://web.pref.hyogo.lg.jp/" TargetMode="External"/><Relationship Id="rId110" Type="http://schemas.openxmlformats.org/officeDocument/2006/relationships/hyperlink" Target="https://www.google.com/search?q=site%3Apref.hyogo.lg.jp%20&#23601;&#32887;&#27703;&#27827;&#26399;" TargetMode="External"/><Relationship Id="rId111" Type="http://schemas.openxmlformats.org/officeDocument/2006/relationships/hyperlink" Target="https://www.google.com/search?q=site%3Apref.hyogo.lg.jp%20%28&#23601;&#32887;&#27703;&#27827;&#26399;%20OR%20&#20013;&#39640;&#24180;%20OR%20&#12511;&#12489;&#12523;%29%20%28&#22577;&#36947;&#30330;&#34920;%20OR%20&#12362;&#30693;&#12425;&#12379;%20OR%20&#21215;&#38598;%29" TargetMode="External"/><Relationship Id="rId112" Type="http://schemas.openxmlformats.org/officeDocument/2006/relationships/hyperlink" Target="https://www.google.com/search?q=&#20853;&#24235;&#30476;%20&#21172;&#20685;&#23616;%20%28&#23601;&#32887;&#27703;&#27827;&#26399;%20OR%20&#20013;&#39640;&#24180;%29%20%28&#12475;&#12511;&#12490;&#12540;%20OR%20&#30456;&#35527;%20OR%20&#31379;&#21475;%29%202026" TargetMode="External"/><Relationship Id="rId113" Type="http://schemas.openxmlformats.org/officeDocument/2006/relationships/hyperlink" Target="https://www.pref.nara.jp/" TargetMode="External"/><Relationship Id="rId114" Type="http://schemas.openxmlformats.org/officeDocument/2006/relationships/hyperlink" Target="https://www.google.com/search?q=site%3Apref.nara.jp%20&#23601;&#32887;&#27703;&#27827;&#26399;" TargetMode="External"/><Relationship Id="rId115" Type="http://schemas.openxmlformats.org/officeDocument/2006/relationships/hyperlink" Target="https://www.google.com/search?q=site%3Apref.nara.jp%20%28&#23601;&#32887;&#27703;&#27827;&#26399;%20OR%20&#20013;&#39640;&#24180;%20OR%20&#12511;&#12489;&#12523;%29%20%28&#22577;&#36947;&#30330;&#34920;%20OR%20&#12362;&#30693;&#12425;&#12379;%20OR%20&#21215;&#38598;%29" TargetMode="External"/><Relationship Id="rId116" Type="http://schemas.openxmlformats.org/officeDocument/2006/relationships/hyperlink" Target="https://www.google.com/search?q=&#22856;&#33391;&#30476;%20&#21172;&#20685;&#23616;%20%28&#23601;&#32887;&#27703;&#27827;&#26399;%20OR%20&#20013;&#39640;&#24180;%29%20%28&#12475;&#12511;&#12490;&#12540;%20OR%20&#30456;&#35527;%20OR%20&#31379;&#21475;%29%202026" TargetMode="External"/><Relationship Id="rId117" Type="http://schemas.openxmlformats.org/officeDocument/2006/relationships/hyperlink" Target="https://www.pref.wakayama.lg.jp/" TargetMode="External"/><Relationship Id="rId118" Type="http://schemas.openxmlformats.org/officeDocument/2006/relationships/hyperlink" Target="https://www.google.com/search?q=site%3Apref.wakayama.lg.jp%20&#23601;&#32887;&#27703;&#27827;&#26399;" TargetMode="External"/><Relationship Id="rId119" Type="http://schemas.openxmlformats.org/officeDocument/2006/relationships/hyperlink" Target="https://www.google.com/search?q=site%3Apref.wakayama.lg.jp%20%28&#23601;&#32887;&#27703;&#27827;&#26399;%20OR%20&#20013;&#39640;&#24180;%20OR%20&#12511;&#12489;&#12523;%29%20%28&#22577;&#36947;&#30330;&#34920;%20OR%20&#12362;&#30693;&#12425;&#12379;%20OR%20&#21215;&#38598;%29" TargetMode="External"/><Relationship Id="rId120" Type="http://schemas.openxmlformats.org/officeDocument/2006/relationships/hyperlink" Target="https://www.google.com/search?q=&#21644;&#27468;&#23665;&#30476;%20&#21172;&#20685;&#23616;%20%28&#23601;&#32887;&#27703;&#27827;&#26399;%20OR%20&#20013;&#39640;&#24180;%29%20%28&#12475;&#12511;&#12490;&#12540;%20OR%20&#30456;&#35527;%20OR%20&#31379;&#21475;%29%202026" TargetMode="External"/><Relationship Id="rId121" Type="http://schemas.openxmlformats.org/officeDocument/2006/relationships/hyperlink" Target="https://www.pref.tottori.lg.jp/" TargetMode="External"/><Relationship Id="rId122" Type="http://schemas.openxmlformats.org/officeDocument/2006/relationships/hyperlink" Target="https://www.google.com/search?q=site%3Apref.tottori.lg.jp%20&#23601;&#32887;&#27703;&#27827;&#26399;" TargetMode="External"/><Relationship Id="rId123" Type="http://schemas.openxmlformats.org/officeDocument/2006/relationships/hyperlink" Target="https://www.google.com/search?q=site%3Apref.tottori.lg.jp%20%28&#23601;&#32887;&#27703;&#27827;&#26399;%20OR%20&#20013;&#39640;&#24180;%20OR%20&#12511;&#12489;&#12523;%29%20%28&#22577;&#36947;&#30330;&#34920;%20OR%20&#12362;&#30693;&#12425;&#12379;%20OR%20&#21215;&#38598;%29" TargetMode="External"/><Relationship Id="rId124" Type="http://schemas.openxmlformats.org/officeDocument/2006/relationships/hyperlink" Target="https://www.google.com/search?q=&#40165;&#21462;&#30476;%20&#21172;&#20685;&#23616;%20%28&#23601;&#32887;&#27703;&#27827;&#26399;%20OR%20&#20013;&#39640;&#24180;%29%20%28&#12475;&#12511;&#12490;&#12540;%20OR%20&#30456;&#35527;%20OR%20&#31379;&#21475;%29%202026" TargetMode="External"/><Relationship Id="rId125" Type="http://schemas.openxmlformats.org/officeDocument/2006/relationships/hyperlink" Target="https://www.pref.shimane.lg.jp/" TargetMode="External"/><Relationship Id="rId126" Type="http://schemas.openxmlformats.org/officeDocument/2006/relationships/hyperlink" Target="https://www.google.com/search?q=site%3Apref.shimane.lg.jp%20&#23601;&#32887;&#27703;&#27827;&#26399;" TargetMode="External"/><Relationship Id="rId127" Type="http://schemas.openxmlformats.org/officeDocument/2006/relationships/hyperlink" Target="https://www.google.com/search?q=site%3Apref.shimane.lg.jp%20%28&#23601;&#32887;&#27703;&#27827;&#26399;%20OR%20&#20013;&#39640;&#24180;%20OR%20&#12511;&#12489;&#12523;%29%20%28&#22577;&#36947;&#30330;&#34920;%20OR%20&#12362;&#30693;&#12425;&#12379;%20OR%20&#21215;&#38598;%29" TargetMode="External"/><Relationship Id="rId128" Type="http://schemas.openxmlformats.org/officeDocument/2006/relationships/hyperlink" Target="https://www.google.com/search?q=&#23798;&#26681;&#30476;%20&#21172;&#20685;&#23616;%20%28&#23601;&#32887;&#27703;&#27827;&#26399;%20OR%20&#20013;&#39640;&#24180;%29%20%28&#12475;&#12511;&#12490;&#12540;%20OR%20&#30456;&#35527;%20OR%20&#31379;&#21475;%29%202026" TargetMode="External"/><Relationship Id="rId129" Type="http://schemas.openxmlformats.org/officeDocument/2006/relationships/hyperlink" Target="https://www.pref.okayama.jp/" TargetMode="External"/><Relationship Id="rId130" Type="http://schemas.openxmlformats.org/officeDocument/2006/relationships/hyperlink" Target="https://www.google.com/search?q=site%3Apref.okayama.jp%20&#23601;&#32887;&#27703;&#27827;&#26399;" TargetMode="External"/><Relationship Id="rId131" Type="http://schemas.openxmlformats.org/officeDocument/2006/relationships/hyperlink" Target="https://www.google.com/search?q=site%3Apref.okayama.jp%20%28&#23601;&#32887;&#27703;&#27827;&#26399;%20OR%20&#20013;&#39640;&#24180;%20OR%20&#12511;&#12489;&#12523;%29%20%28&#22577;&#36947;&#30330;&#34920;%20OR%20&#12362;&#30693;&#12425;&#12379;%20OR%20&#21215;&#38598;%29" TargetMode="External"/><Relationship Id="rId132" Type="http://schemas.openxmlformats.org/officeDocument/2006/relationships/hyperlink" Target="https://www.google.com/search?q=&#23713;&#23665;&#30476;%20&#21172;&#20685;&#23616;%20%28&#23601;&#32887;&#27703;&#27827;&#26399;%20OR%20&#20013;&#39640;&#24180;%29%20%28&#12475;&#12511;&#12490;&#12540;%20OR%20&#30456;&#35527;%20OR%20&#31379;&#21475;%29%202026" TargetMode="External"/><Relationship Id="rId133" Type="http://schemas.openxmlformats.org/officeDocument/2006/relationships/hyperlink" Target="https://www.pref.hiroshima.lg.jp/" TargetMode="External"/><Relationship Id="rId134" Type="http://schemas.openxmlformats.org/officeDocument/2006/relationships/hyperlink" Target="https://www.google.com/search?q=site%3Apref.hiroshima.lg.jp%20&#23601;&#32887;&#27703;&#27827;&#26399;" TargetMode="External"/><Relationship Id="rId135" Type="http://schemas.openxmlformats.org/officeDocument/2006/relationships/hyperlink" Target="https://www.google.com/search?q=site%3Apref.hiroshima.lg.jp%20%28&#23601;&#32887;&#27703;&#27827;&#26399;%20OR%20&#20013;&#39640;&#24180;%20OR%20&#12511;&#12489;&#12523;%29%20%28&#22577;&#36947;&#30330;&#34920;%20OR%20&#12362;&#30693;&#12425;&#12379;%20OR%20&#21215;&#38598;%29" TargetMode="External"/><Relationship Id="rId136" Type="http://schemas.openxmlformats.org/officeDocument/2006/relationships/hyperlink" Target="https://www.google.com/search?q=&#24195;&#23798;&#30476;%20&#21172;&#20685;&#23616;%20%28&#23601;&#32887;&#27703;&#27827;&#26399;%20OR%20&#20013;&#39640;&#24180;%29%20%28&#12475;&#12511;&#12490;&#12540;%20OR%20&#30456;&#35527;%20OR%20&#31379;&#21475;%29%202026" TargetMode="External"/><Relationship Id="rId137" Type="http://schemas.openxmlformats.org/officeDocument/2006/relationships/hyperlink" Target="https://www.pref.yamaguchi.lg.jp/" TargetMode="External"/><Relationship Id="rId138" Type="http://schemas.openxmlformats.org/officeDocument/2006/relationships/hyperlink" Target="https://www.google.com/search?q=site%3Apref.yamaguchi.lg.jp%20&#23601;&#32887;&#27703;&#27827;&#26399;" TargetMode="External"/><Relationship Id="rId139" Type="http://schemas.openxmlformats.org/officeDocument/2006/relationships/hyperlink" Target="https://www.google.com/search?q=site%3Apref.yamaguchi.lg.jp%20%28&#23601;&#32887;&#27703;&#27827;&#26399;%20OR%20&#20013;&#39640;&#24180;%20OR%20&#12511;&#12489;&#12523;%29%20%28&#22577;&#36947;&#30330;&#34920;%20OR%20&#12362;&#30693;&#12425;&#12379;%20OR%20&#21215;&#38598;%29" TargetMode="External"/><Relationship Id="rId140" Type="http://schemas.openxmlformats.org/officeDocument/2006/relationships/hyperlink" Target="https://www.google.com/search?q=&#23665;&#21475;&#30476;%20&#21172;&#20685;&#23616;%20%28&#23601;&#32887;&#27703;&#27827;&#26399;%20OR%20&#20013;&#39640;&#24180;%29%20%28&#12475;&#12511;&#12490;&#12540;%20OR%20&#30456;&#35527;%20OR%20&#31379;&#21475;%29%202026" TargetMode="External"/><Relationship Id="rId141" Type="http://schemas.openxmlformats.org/officeDocument/2006/relationships/hyperlink" Target="https://www.pref.tokushima.lg.jp/" TargetMode="External"/><Relationship Id="rId142" Type="http://schemas.openxmlformats.org/officeDocument/2006/relationships/hyperlink" Target="https://www.google.com/search?q=site%3Apref.tokushima.lg.jp%20&#23601;&#32887;&#27703;&#27827;&#26399;" TargetMode="External"/><Relationship Id="rId143" Type="http://schemas.openxmlformats.org/officeDocument/2006/relationships/hyperlink" Target="https://www.google.com/search?q=site%3Apref.tokushima.lg.jp%20%28&#23601;&#32887;&#27703;&#27827;&#26399;%20OR%20&#20013;&#39640;&#24180;%20OR%20&#12511;&#12489;&#12523;%29%20%28&#22577;&#36947;&#30330;&#34920;%20OR%20&#12362;&#30693;&#12425;&#12379;%20OR%20&#21215;&#38598;%29" TargetMode="External"/><Relationship Id="rId144" Type="http://schemas.openxmlformats.org/officeDocument/2006/relationships/hyperlink" Target="https://www.google.com/search?q=&#24499;&#23798;&#30476;%20&#21172;&#20685;&#23616;%20%28&#23601;&#32887;&#27703;&#27827;&#26399;%20OR%20&#20013;&#39640;&#24180;%29%20%28&#12475;&#12511;&#12490;&#12540;%20OR%20&#30456;&#35527;%20OR%20&#31379;&#21475;%29%202026" TargetMode="External"/><Relationship Id="rId145" Type="http://schemas.openxmlformats.org/officeDocument/2006/relationships/hyperlink" Target="https://www.pref.kagawa.lg.jp/" TargetMode="External"/><Relationship Id="rId146" Type="http://schemas.openxmlformats.org/officeDocument/2006/relationships/hyperlink" Target="https://www.google.com/search?q=site%3Apref.kagawa.lg.jp%20&#23601;&#32887;&#27703;&#27827;&#26399;" TargetMode="External"/><Relationship Id="rId147" Type="http://schemas.openxmlformats.org/officeDocument/2006/relationships/hyperlink" Target="https://www.google.com/search?q=site%3Apref.kagawa.lg.jp%20%28&#23601;&#32887;&#27703;&#27827;&#26399;%20OR%20&#20013;&#39640;&#24180;%20OR%20&#12511;&#12489;&#12523;%29%20%28&#22577;&#36947;&#30330;&#34920;%20OR%20&#12362;&#30693;&#12425;&#12379;%20OR%20&#21215;&#38598;%29" TargetMode="External"/><Relationship Id="rId148" Type="http://schemas.openxmlformats.org/officeDocument/2006/relationships/hyperlink" Target="https://www.google.com/search?q=&#39321;&#24029;&#30476;%20&#21172;&#20685;&#23616;%20%28&#23601;&#32887;&#27703;&#27827;&#26399;%20OR%20&#20013;&#39640;&#24180;%29%20%28&#12475;&#12511;&#12490;&#12540;%20OR%20&#30456;&#35527;%20OR%20&#31379;&#21475;%29%202026" TargetMode="External"/><Relationship Id="rId149" Type="http://schemas.openxmlformats.org/officeDocument/2006/relationships/hyperlink" Target="https://www.pref.ehime.jp/" TargetMode="External"/><Relationship Id="rId150" Type="http://schemas.openxmlformats.org/officeDocument/2006/relationships/hyperlink" Target="https://www.google.com/search?q=site%3Apref.ehime.jp%20&#23601;&#32887;&#27703;&#27827;&#26399;" TargetMode="External"/><Relationship Id="rId151" Type="http://schemas.openxmlformats.org/officeDocument/2006/relationships/hyperlink" Target="https://www.google.com/search?q=site%3Apref.ehime.jp%20%28&#23601;&#32887;&#27703;&#27827;&#26399;%20OR%20&#20013;&#39640;&#24180;%20OR%20&#12511;&#12489;&#12523;%29%20%28&#22577;&#36947;&#30330;&#34920;%20OR%20&#12362;&#30693;&#12425;&#12379;%20OR%20&#21215;&#38598;%29" TargetMode="External"/><Relationship Id="rId152" Type="http://schemas.openxmlformats.org/officeDocument/2006/relationships/hyperlink" Target="https://www.google.com/search?q=&#24859;&#23195;&#30476;%20&#21172;&#20685;&#23616;%20%28&#23601;&#32887;&#27703;&#27827;&#26399;%20OR%20&#20013;&#39640;&#24180;%29%20%28&#12475;&#12511;&#12490;&#12540;%20OR%20&#30456;&#35527;%20OR%20&#31379;&#21475;%29%202026" TargetMode="External"/><Relationship Id="rId153" Type="http://schemas.openxmlformats.org/officeDocument/2006/relationships/hyperlink" Target="https://www.pref.kochi.lg.jp/" TargetMode="External"/><Relationship Id="rId154" Type="http://schemas.openxmlformats.org/officeDocument/2006/relationships/hyperlink" Target="https://www.google.com/search?q=site%3Apref.kochi.lg.jp%20&#23601;&#32887;&#27703;&#27827;&#26399;" TargetMode="External"/><Relationship Id="rId155" Type="http://schemas.openxmlformats.org/officeDocument/2006/relationships/hyperlink" Target="https://www.google.com/search?q=site%3Apref.kochi.lg.jp%20%28&#23601;&#32887;&#27703;&#27827;&#26399;%20OR%20&#20013;&#39640;&#24180;%20OR%20&#12511;&#12489;&#12523;%29%20%28&#22577;&#36947;&#30330;&#34920;%20OR%20&#12362;&#30693;&#12425;&#12379;%20OR%20&#21215;&#38598;%29" TargetMode="External"/><Relationship Id="rId156" Type="http://schemas.openxmlformats.org/officeDocument/2006/relationships/hyperlink" Target="https://www.google.com/search?q=&#39640;&#30693;&#30476;%20&#21172;&#20685;&#23616;%20%28&#23601;&#32887;&#27703;&#27827;&#26399;%20OR%20&#20013;&#39640;&#24180;%29%20%28&#12475;&#12511;&#12490;&#12540;%20OR%20&#30456;&#35527;%20OR%20&#31379;&#21475;%29%202026" TargetMode="External"/><Relationship Id="rId157" Type="http://schemas.openxmlformats.org/officeDocument/2006/relationships/hyperlink" Target="https://www.pref.fukuoka.lg.jp/" TargetMode="External"/><Relationship Id="rId158" Type="http://schemas.openxmlformats.org/officeDocument/2006/relationships/hyperlink" Target="https://www.google.com/search?q=site%3Apref.fukuoka.lg.jp%20&#23601;&#32887;&#27703;&#27827;&#26399;" TargetMode="External"/><Relationship Id="rId159" Type="http://schemas.openxmlformats.org/officeDocument/2006/relationships/hyperlink" Target="https://www.google.com/search?q=site%3Apref.fukuoka.lg.jp%20%28&#23601;&#32887;&#27703;&#27827;&#26399;%20OR%20&#20013;&#39640;&#24180;%20OR%20&#12511;&#12489;&#12523;%29%20%28&#22577;&#36947;&#30330;&#34920;%20OR%20&#12362;&#30693;&#12425;&#12379;%20OR%20&#21215;&#38598;%29" TargetMode="External"/><Relationship Id="rId160" Type="http://schemas.openxmlformats.org/officeDocument/2006/relationships/hyperlink" Target="https://www.google.com/search?q=&#31119;&#23713;&#30476;%20&#21172;&#20685;&#23616;%20%28&#23601;&#32887;&#27703;&#27827;&#26399;%20OR%20&#20013;&#39640;&#24180;%29%20%28&#12475;&#12511;&#12490;&#12540;%20OR%20&#30456;&#35527;%20OR%20&#31379;&#21475;%29%202026" TargetMode="External"/><Relationship Id="rId161" Type="http://schemas.openxmlformats.org/officeDocument/2006/relationships/hyperlink" Target="https://www.pref.saga.lg.jp/" TargetMode="External"/><Relationship Id="rId162" Type="http://schemas.openxmlformats.org/officeDocument/2006/relationships/hyperlink" Target="https://www.google.com/search?q=site%3Apref.saga.lg.jp%20&#23601;&#32887;&#27703;&#27827;&#26399;" TargetMode="External"/><Relationship Id="rId163" Type="http://schemas.openxmlformats.org/officeDocument/2006/relationships/hyperlink" Target="https://www.google.com/search?q=site%3Apref.saga.lg.jp%20%28&#23601;&#32887;&#27703;&#27827;&#26399;%20OR%20&#20013;&#39640;&#24180;%20OR%20&#12511;&#12489;&#12523;%29%20%28&#22577;&#36947;&#30330;&#34920;%20OR%20&#12362;&#30693;&#12425;&#12379;%20OR%20&#21215;&#38598;%29" TargetMode="External"/><Relationship Id="rId164" Type="http://schemas.openxmlformats.org/officeDocument/2006/relationships/hyperlink" Target="https://www.google.com/search?q=&#20304;&#36032;&#30476;%20&#21172;&#20685;&#23616;%20%28&#23601;&#32887;&#27703;&#27827;&#26399;%20OR%20&#20013;&#39640;&#24180;%29%20%28&#12475;&#12511;&#12490;&#12540;%20OR%20&#30456;&#35527;%20OR%20&#31379;&#21475;%29%202026" TargetMode="External"/><Relationship Id="rId165" Type="http://schemas.openxmlformats.org/officeDocument/2006/relationships/hyperlink" Target="https://www.pref.nagasaki.jp/" TargetMode="External"/><Relationship Id="rId166" Type="http://schemas.openxmlformats.org/officeDocument/2006/relationships/hyperlink" Target="https://www.google.com/search?q=site%3Apref.nagasaki.jp%20&#23601;&#32887;&#27703;&#27827;&#26399;" TargetMode="External"/><Relationship Id="rId167" Type="http://schemas.openxmlformats.org/officeDocument/2006/relationships/hyperlink" Target="https://www.google.com/search?q=site%3Apref.nagasaki.jp%20%28&#23601;&#32887;&#27703;&#27827;&#26399;%20OR%20&#20013;&#39640;&#24180;%20OR%20&#12511;&#12489;&#12523;%29%20%28&#22577;&#36947;&#30330;&#34920;%20OR%20&#12362;&#30693;&#12425;&#12379;%20OR%20&#21215;&#38598;%29" TargetMode="External"/><Relationship Id="rId168" Type="http://schemas.openxmlformats.org/officeDocument/2006/relationships/hyperlink" Target="https://www.google.com/search?q=&#38263;&#23822;&#30476;%20&#21172;&#20685;&#23616;%20%28&#23601;&#32887;&#27703;&#27827;&#26399;%20OR%20&#20013;&#39640;&#24180;%29%20%28&#12475;&#12511;&#12490;&#12540;%20OR%20&#30456;&#35527;%20OR%20&#31379;&#21475;%29%202026" TargetMode="External"/><Relationship Id="rId169" Type="http://schemas.openxmlformats.org/officeDocument/2006/relationships/hyperlink" Target="https://www.pref.kumamoto.jp/" TargetMode="External"/><Relationship Id="rId170" Type="http://schemas.openxmlformats.org/officeDocument/2006/relationships/hyperlink" Target="https://www.google.com/search?q=site%3Apref.kumamoto.jp%20&#23601;&#32887;&#27703;&#27827;&#26399;" TargetMode="External"/><Relationship Id="rId171" Type="http://schemas.openxmlformats.org/officeDocument/2006/relationships/hyperlink" Target="https://www.google.com/search?q=site%3Apref.kumamoto.jp%20%28&#23601;&#32887;&#27703;&#27827;&#26399;%20OR%20&#20013;&#39640;&#24180;%20OR%20&#12511;&#12489;&#12523;%29%20%28&#22577;&#36947;&#30330;&#34920;%20OR%20&#12362;&#30693;&#12425;&#12379;%20OR%20&#21215;&#38598;%29" TargetMode="External"/><Relationship Id="rId172" Type="http://schemas.openxmlformats.org/officeDocument/2006/relationships/hyperlink" Target="https://www.google.com/search?q=&#29066;&#26412;&#30476;%20&#21172;&#20685;&#23616;%20%28&#23601;&#32887;&#27703;&#27827;&#26399;%20OR%20&#20013;&#39640;&#24180;%29%20%28&#12475;&#12511;&#12490;&#12540;%20OR%20&#30456;&#35527;%20OR%20&#31379;&#21475;%29%202026" TargetMode="External"/><Relationship Id="rId173" Type="http://schemas.openxmlformats.org/officeDocument/2006/relationships/hyperlink" Target="https://www.pref.oita.jp/" TargetMode="External"/><Relationship Id="rId174" Type="http://schemas.openxmlformats.org/officeDocument/2006/relationships/hyperlink" Target="https://www.google.com/search?q=site%3Apref.oita.jp%20&#23601;&#32887;&#27703;&#27827;&#26399;" TargetMode="External"/><Relationship Id="rId175" Type="http://schemas.openxmlformats.org/officeDocument/2006/relationships/hyperlink" Target="https://www.google.com/search?q=site%3Apref.oita.jp%20%28&#23601;&#32887;&#27703;&#27827;&#26399;%20OR%20&#20013;&#39640;&#24180;%20OR%20&#12511;&#12489;&#12523;%29%20%28&#22577;&#36947;&#30330;&#34920;%20OR%20&#12362;&#30693;&#12425;&#12379;%20OR%20&#21215;&#38598;%29" TargetMode="External"/><Relationship Id="rId176" Type="http://schemas.openxmlformats.org/officeDocument/2006/relationships/hyperlink" Target="https://www.google.com/search?q=&#22823;&#20998;&#30476;%20&#21172;&#20685;&#23616;%20%28&#23601;&#32887;&#27703;&#27827;&#26399;%20OR%20&#20013;&#39640;&#24180;%29%20%28&#12475;&#12511;&#12490;&#12540;%20OR%20&#30456;&#35527;%20OR%20&#31379;&#21475;%29%202026" TargetMode="External"/><Relationship Id="rId177" Type="http://schemas.openxmlformats.org/officeDocument/2006/relationships/hyperlink" Target="https://www.pref.miyazaki.lg.jp/" TargetMode="External"/><Relationship Id="rId178" Type="http://schemas.openxmlformats.org/officeDocument/2006/relationships/hyperlink" Target="https://www.google.com/search?q=site%3Apref.miyazaki.lg.jp%20&#23601;&#32887;&#27703;&#27827;&#26399;" TargetMode="External"/><Relationship Id="rId179" Type="http://schemas.openxmlformats.org/officeDocument/2006/relationships/hyperlink" Target="https://www.google.com/search?q=site%3Apref.miyazaki.lg.jp%20%28&#23601;&#32887;&#27703;&#27827;&#26399;%20OR%20&#20013;&#39640;&#24180;%20OR%20&#12511;&#12489;&#12523;%29%20%28&#22577;&#36947;&#30330;&#34920;%20OR%20&#12362;&#30693;&#12425;&#12379;%20OR%20&#21215;&#38598;%29" TargetMode="External"/><Relationship Id="rId180" Type="http://schemas.openxmlformats.org/officeDocument/2006/relationships/hyperlink" Target="https://www.google.com/search?q=&#23470;&#23822;&#30476;%20&#21172;&#20685;&#23616;%20%28&#23601;&#32887;&#27703;&#27827;&#26399;%20OR%20&#20013;&#39640;&#24180;%29%20%28&#12475;&#12511;&#12490;&#12540;%20OR%20&#30456;&#35527;%20OR%20&#31379;&#21475;%29%202026" TargetMode="External"/><Relationship Id="rId181" Type="http://schemas.openxmlformats.org/officeDocument/2006/relationships/hyperlink" Target="https://www.pref.kagoshima.jp/" TargetMode="External"/><Relationship Id="rId182" Type="http://schemas.openxmlformats.org/officeDocument/2006/relationships/hyperlink" Target="https://www.google.com/search?q=site%3Apref.kagoshima.jp%20&#23601;&#32887;&#27703;&#27827;&#26399;" TargetMode="External"/><Relationship Id="rId183" Type="http://schemas.openxmlformats.org/officeDocument/2006/relationships/hyperlink" Target="https://www.google.com/search?q=site%3Apref.kagoshima.jp%20%28&#23601;&#32887;&#27703;&#27827;&#26399;%20OR%20&#20013;&#39640;&#24180;%20OR%20&#12511;&#12489;&#12523;%29%20%28&#22577;&#36947;&#30330;&#34920;%20OR%20&#12362;&#30693;&#12425;&#12379;%20OR%20&#21215;&#38598;%29" TargetMode="External"/><Relationship Id="rId184" Type="http://schemas.openxmlformats.org/officeDocument/2006/relationships/hyperlink" Target="https://www.google.com/search?q=&#40575;&#20816;&#23798;&#30476;%20&#21172;&#20685;&#23616;%20%28&#23601;&#32887;&#27703;&#27827;&#26399;%20OR%20&#20013;&#39640;&#24180;%29%20%28&#12475;&#12511;&#12490;&#12540;%20OR%20&#30456;&#35527;%20OR%20&#31379;&#21475;%29%202026" TargetMode="External"/><Relationship Id="rId185" Type="http://schemas.openxmlformats.org/officeDocument/2006/relationships/hyperlink" Target="https://www.pref.okinawa.jp/" TargetMode="External"/><Relationship Id="rId186" Type="http://schemas.openxmlformats.org/officeDocument/2006/relationships/hyperlink" Target="https://www.google.com/search?q=site%3Apref.okinawa.jp%20&#23601;&#32887;&#27703;&#27827;&#26399;" TargetMode="External"/><Relationship Id="rId187" Type="http://schemas.openxmlformats.org/officeDocument/2006/relationships/hyperlink" Target="https://www.google.com/search?q=site%3Apref.okinawa.jp%20%28&#23601;&#32887;&#27703;&#27827;&#26399;%20OR%20&#20013;&#39640;&#24180;%20OR%20&#12511;&#12489;&#12523;%29%20%28&#22577;&#36947;&#30330;&#34920;%20OR%20&#12362;&#30693;&#12425;&#12379;%20OR%20&#21215;&#38598;%29" TargetMode="External"/><Relationship Id="rId188" Type="http://schemas.openxmlformats.org/officeDocument/2006/relationships/hyperlink" Target="https://www.google.com/search?q=&#27798;&#32260;&#30476;%20&#21172;&#20685;&#23616;%20%28&#23601;&#32887;&#27703;&#27827;&#26399;%20OR%20&#20013;&#39640;&#24180;%29%20%28&#12475;&#12511;&#12490;&#12540;%20OR%20&#30456;&#35527;%20OR%20&#31379;&#21475;%29%2020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8"/>
  </cols>
  <sheetData>
    <row r="1" customFormat="false" ht="15.7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4"/>
      <c r="B2" s="3"/>
    </row>
    <row r="3" customFormat="false" ht="16.5" hidden="false" customHeight="true" outlineLevel="0" collapsed="false">
      <c r="A3" s="5" t="s">
        <v>1</v>
      </c>
      <c r="B3" s="3" t="s">
        <v>2</v>
      </c>
    </row>
    <row r="4" customFormat="false" ht="15" hidden="false" customHeight="true" outlineLevel="0" collapsed="false">
      <c r="A4" s="4"/>
      <c r="B4" s="3"/>
    </row>
    <row r="5" customFormat="false" ht="48" hidden="false" customHeight="true" outlineLevel="0" collapsed="false">
      <c r="A5" s="6" t="s">
        <v>3</v>
      </c>
      <c r="B5" s="7" t="s">
        <v>4</v>
      </c>
    </row>
    <row r="6" customFormat="false" ht="16.5" hidden="false" customHeight="true" outlineLevel="0" collapsed="false">
      <c r="A6" s="5" t="s">
        <v>5</v>
      </c>
      <c r="B6" s="8" t="s">
        <v>6</v>
      </c>
    </row>
    <row r="7" customFormat="false" ht="32.25" hidden="false" customHeight="true" outlineLevel="0" collapsed="false">
      <c r="A7" s="5" t="s">
        <v>7</v>
      </c>
      <c r="B7" s="8" t="s">
        <v>8</v>
      </c>
    </row>
    <row r="8" customFormat="false" ht="15" hidden="false" customHeight="true" outlineLevel="0" collapsed="false">
      <c r="A8" s="4"/>
      <c r="B8" s="3"/>
    </row>
    <row r="9" customFormat="false" ht="16.5" hidden="false" customHeight="true" outlineLevel="0" collapsed="false">
      <c r="A9" s="5" t="s">
        <v>9</v>
      </c>
      <c r="B9" s="8" t="s">
        <v>10</v>
      </c>
    </row>
    <row r="10" customFormat="false" ht="32.25" hidden="false" customHeight="true" outlineLevel="0" collapsed="false">
      <c r="A10" s="5" t="s">
        <v>11</v>
      </c>
      <c r="B10" s="8" t="s">
        <v>12</v>
      </c>
    </row>
    <row r="11" customFormat="false" ht="15" hidden="false" customHeight="true" outlineLevel="0" collapsed="false">
      <c r="A11" s="4"/>
      <c r="B11" s="3"/>
    </row>
    <row r="12" customFormat="false" ht="32.25" hidden="false" customHeight="true" outlineLevel="0" collapsed="false">
      <c r="A12" s="5" t="s">
        <v>13</v>
      </c>
      <c r="B12" s="8" t="s">
        <v>14</v>
      </c>
    </row>
    <row r="13" customFormat="false" ht="15" hidden="false" customHeight="true" outlineLevel="0" collapsed="false">
      <c r="A13" s="4"/>
      <c r="B13" s="3"/>
    </row>
    <row r="14" customFormat="false" ht="15" hidden="false" customHeight="true" outlineLevel="0" collapsed="false">
      <c r="A14" s="6" t="s">
        <v>15</v>
      </c>
      <c r="B14" s="3"/>
    </row>
    <row r="15" customFormat="false" ht="16.5" hidden="false" customHeight="true" outlineLevel="0" collapsed="false">
      <c r="A15" s="6" t="s">
        <v>16</v>
      </c>
      <c r="B15" s="3" t="s">
        <v>17</v>
      </c>
    </row>
    <row r="16" customFormat="false" ht="32.25" hidden="false" customHeight="true" outlineLevel="0" collapsed="false">
      <c r="A16" s="6" t="s">
        <v>18</v>
      </c>
      <c r="B16" s="8" t="s">
        <v>19</v>
      </c>
    </row>
    <row r="17" customFormat="false" ht="16.5" hidden="false" customHeight="true" outlineLevel="0" collapsed="false">
      <c r="A17" s="4" t="s">
        <v>20</v>
      </c>
      <c r="B17" s="8" t="s">
        <v>21</v>
      </c>
    </row>
    <row r="18" customFormat="false" ht="16.5" hidden="false" customHeight="true" outlineLevel="0" collapsed="false">
      <c r="A18" s="6" t="s">
        <v>22</v>
      </c>
      <c r="B18" s="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0"/>
  </cols>
  <sheetData>
    <row r="1" customFormat="false" ht="94.5" hidden="false" customHeight="true" outlineLevel="0" collapsed="false">
      <c r="A1" s="9" t="s">
        <v>24</v>
      </c>
    </row>
    <row r="3" customFormat="false" ht="43.5" hidden="false" customHeight="true" outlineLevel="0" collapsed="false">
      <c r="A3" s="10" t="s">
        <v>25</v>
      </c>
      <c r="B3" s="11" t="s">
        <v>26</v>
      </c>
    </row>
    <row r="4" customFormat="false" ht="29.25" hidden="false" customHeight="true" outlineLevel="0" collapsed="false">
      <c r="A4" s="10" t="s">
        <v>27</v>
      </c>
      <c r="B4" s="11" t="s">
        <v>28</v>
      </c>
    </row>
    <row r="5" customFormat="false" ht="29.25" hidden="false" customHeight="true" outlineLevel="0" collapsed="false">
      <c r="A5" s="10" t="s">
        <v>29</v>
      </c>
      <c r="B5" s="11" t="s">
        <v>30</v>
      </c>
    </row>
    <row r="6" customFormat="false" ht="15" hidden="false" customHeight="true" outlineLevel="0" collapsed="false">
      <c r="A6" s="10" t="s">
        <v>31</v>
      </c>
      <c r="B6" s="11" t="s">
        <v>32</v>
      </c>
    </row>
    <row r="7" customFormat="false" ht="15" hidden="false" customHeight="true" outlineLevel="0" collapsed="false">
      <c r="A7" s="10" t="s">
        <v>33</v>
      </c>
      <c r="B7" s="11" t="s">
        <v>34</v>
      </c>
    </row>
    <row r="8" customFormat="false" ht="15" hidden="false" customHeight="true" outlineLevel="0" collapsed="false">
      <c r="A8" s="10" t="s">
        <v>35</v>
      </c>
      <c r="B8" s="11" t="s">
        <v>36</v>
      </c>
    </row>
    <row r="9" customFormat="false" ht="29.25" hidden="false" customHeight="true" outlineLevel="0" collapsed="false">
      <c r="A9" s="10" t="s">
        <v>37</v>
      </c>
      <c r="B9" s="11" t="s">
        <v>38</v>
      </c>
    </row>
    <row r="10" customFormat="false" ht="29.25" hidden="false" customHeight="true" outlineLevel="0" collapsed="false">
      <c r="A10" s="10" t="s">
        <v>39</v>
      </c>
      <c r="B10" s="11" t="s">
        <v>40</v>
      </c>
    </row>
    <row r="11" customFormat="false" ht="15" hidden="false" customHeight="true" outlineLevel="0" collapsed="false">
      <c r="A11" s="10" t="s">
        <v>41</v>
      </c>
      <c r="B11" s="11" t="s">
        <v>42</v>
      </c>
    </row>
    <row r="12" customFormat="false" ht="15" hidden="false" customHeight="true" outlineLevel="0" collapsed="false">
      <c r="A12" s="10" t="s">
        <v>43</v>
      </c>
      <c r="B12" s="11" t="s">
        <v>44</v>
      </c>
    </row>
    <row r="13" customFormat="false" ht="43.5" hidden="false" customHeight="true" outlineLevel="0" collapsed="false">
      <c r="A13" s="10" t="s">
        <v>45</v>
      </c>
      <c r="B13" s="12" t="s">
        <v>46</v>
      </c>
    </row>
    <row r="14" customFormat="false" ht="43.5" hidden="false" customHeight="true" outlineLevel="0" collapsed="false">
      <c r="A14" s="13" t="s">
        <v>47</v>
      </c>
      <c r="B14" s="14" t="s">
        <v>48</v>
      </c>
    </row>
    <row r="15" customFormat="false" ht="57.75" hidden="false" customHeight="true" outlineLevel="0" collapsed="false">
      <c r="A15" s="13" t="s">
        <v>49</v>
      </c>
      <c r="B15" s="14" t="s">
        <v>50</v>
      </c>
    </row>
    <row r="16" customFormat="false" ht="43.5" hidden="false" customHeight="true" outlineLevel="0" collapsed="false">
      <c r="A16" s="13" t="s">
        <v>51</v>
      </c>
      <c r="B16" s="14" t="s">
        <v>52</v>
      </c>
    </row>
    <row r="17" customFormat="false" ht="57.75" hidden="false" customHeight="true" outlineLevel="0" collapsed="false">
      <c r="A17" s="13" t="s">
        <v>53</v>
      </c>
      <c r="B17" s="1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5" min="4" style="1" width="24"/>
    <col collapsed="false" customWidth="true" hidden="false" outlineLevel="0" max="6" min="6" style="1" width="40"/>
    <col collapsed="false" customWidth="true" hidden="false" outlineLevel="0" max="7" min="7" style="1" width="26"/>
  </cols>
  <sheetData>
    <row r="1" customFormat="false" ht="16.5" hidden="false" customHeight="true" outlineLevel="0" collapsed="false">
      <c r="A1" s="15" t="s">
        <v>55</v>
      </c>
      <c r="B1" s="15" t="s">
        <v>56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61</v>
      </c>
    </row>
    <row r="2" customFormat="false" ht="15" hidden="false" customHeight="true" outlineLevel="0" collapsed="false">
      <c r="A2" s="16" t="s">
        <v>62</v>
      </c>
      <c r="B2" s="17" t="s">
        <v>63</v>
      </c>
      <c r="C2" s="17" t="s">
        <v>64</v>
      </c>
      <c r="D2" s="18" t="s">
        <v>65</v>
      </c>
      <c r="E2" s="18" t="s">
        <v>66</v>
      </c>
      <c r="F2" s="19"/>
      <c r="G2" s="19"/>
    </row>
    <row r="3" customFormat="false" ht="15" hidden="false" customHeight="true" outlineLevel="0" collapsed="false">
      <c r="A3" s="16" t="s">
        <v>67</v>
      </c>
      <c r="B3" s="17" t="s">
        <v>68</v>
      </c>
      <c r="C3" s="17" t="s">
        <v>69</v>
      </c>
      <c r="D3" s="18" t="s">
        <v>65</v>
      </c>
      <c r="E3" s="18" t="s">
        <v>66</v>
      </c>
      <c r="F3" s="19"/>
      <c r="G3" s="19"/>
    </row>
    <row r="4" customFormat="false" ht="15" hidden="false" customHeight="true" outlineLevel="0" collapsed="false">
      <c r="A4" s="16" t="s">
        <v>70</v>
      </c>
      <c r="B4" s="17" t="s">
        <v>71</v>
      </c>
      <c r="C4" s="17" t="s">
        <v>72</v>
      </c>
      <c r="D4" s="18" t="s">
        <v>65</v>
      </c>
      <c r="E4" s="18" t="s">
        <v>66</v>
      </c>
      <c r="F4" s="19"/>
      <c r="G4" s="19"/>
    </row>
    <row r="5" customFormat="false" ht="15" hidden="false" customHeight="true" outlineLevel="0" collapsed="false">
      <c r="A5" s="16" t="s">
        <v>73</v>
      </c>
      <c r="B5" s="17" t="s">
        <v>74</v>
      </c>
      <c r="C5" s="17" t="s">
        <v>75</v>
      </c>
      <c r="D5" s="18" t="s">
        <v>65</v>
      </c>
      <c r="E5" s="18" t="s">
        <v>66</v>
      </c>
      <c r="F5" s="19"/>
      <c r="G5" s="19"/>
    </row>
    <row r="6" customFormat="false" ht="15" hidden="false" customHeight="true" outlineLevel="0" collapsed="false">
      <c r="A6" s="16" t="s">
        <v>76</v>
      </c>
      <c r="B6" s="17" t="s">
        <v>77</v>
      </c>
      <c r="C6" s="17" t="s">
        <v>78</v>
      </c>
      <c r="D6" s="18" t="s">
        <v>65</v>
      </c>
      <c r="E6" s="18" t="s">
        <v>66</v>
      </c>
      <c r="F6" s="19"/>
      <c r="G6" s="19"/>
    </row>
    <row r="7" customFormat="false" ht="15" hidden="false" customHeight="true" outlineLevel="0" collapsed="false">
      <c r="A7" s="16" t="s">
        <v>79</v>
      </c>
      <c r="B7" s="17" t="s">
        <v>80</v>
      </c>
      <c r="C7" s="17" t="s">
        <v>81</v>
      </c>
      <c r="D7" s="18" t="s">
        <v>65</v>
      </c>
      <c r="E7" s="18" t="s">
        <v>66</v>
      </c>
      <c r="F7" s="19"/>
      <c r="G7" s="19"/>
    </row>
    <row r="8" customFormat="false" ht="15" hidden="false" customHeight="true" outlineLevel="0" collapsed="false">
      <c r="A8" s="16" t="s">
        <v>82</v>
      </c>
      <c r="B8" s="17" t="s">
        <v>83</v>
      </c>
      <c r="C8" s="17" t="s">
        <v>84</v>
      </c>
      <c r="D8" s="18" t="s">
        <v>65</v>
      </c>
      <c r="E8" s="18" t="s">
        <v>66</v>
      </c>
      <c r="F8" s="19"/>
      <c r="G8" s="19"/>
    </row>
    <row r="9" customFormat="false" ht="15" hidden="false" customHeight="true" outlineLevel="0" collapsed="false">
      <c r="A9" s="16" t="s">
        <v>85</v>
      </c>
      <c r="B9" s="17" t="s">
        <v>86</v>
      </c>
      <c r="C9" s="17" t="s">
        <v>87</v>
      </c>
      <c r="D9" s="18" t="s">
        <v>65</v>
      </c>
      <c r="E9" s="18" t="s">
        <v>66</v>
      </c>
      <c r="F9" s="19"/>
      <c r="G9" s="19"/>
    </row>
    <row r="10" customFormat="false" ht="15" hidden="false" customHeight="true" outlineLevel="0" collapsed="false">
      <c r="A10" s="16" t="s">
        <v>88</v>
      </c>
      <c r="B10" s="17" t="s">
        <v>89</v>
      </c>
      <c r="C10" s="17" t="s">
        <v>90</v>
      </c>
      <c r="D10" s="18" t="s">
        <v>65</v>
      </c>
      <c r="E10" s="18" t="s">
        <v>66</v>
      </c>
      <c r="F10" s="19"/>
      <c r="G10" s="19"/>
    </row>
    <row r="11" customFormat="false" ht="15" hidden="false" customHeight="true" outlineLevel="0" collapsed="false">
      <c r="A11" s="16" t="s">
        <v>91</v>
      </c>
      <c r="B11" s="17" t="s">
        <v>92</v>
      </c>
      <c r="C11" s="17" t="s">
        <v>93</v>
      </c>
      <c r="D11" s="18" t="s">
        <v>65</v>
      </c>
      <c r="E11" s="18" t="s">
        <v>66</v>
      </c>
      <c r="F11" s="19"/>
      <c r="G11" s="19"/>
    </row>
    <row r="12" customFormat="false" ht="15" hidden="false" customHeight="true" outlineLevel="0" collapsed="false">
      <c r="A12" s="16" t="s">
        <v>94</v>
      </c>
      <c r="B12" s="17" t="s">
        <v>95</v>
      </c>
      <c r="C12" s="17" t="s">
        <v>96</v>
      </c>
      <c r="D12" s="18" t="s">
        <v>65</v>
      </c>
      <c r="E12" s="18" t="s">
        <v>66</v>
      </c>
      <c r="F12" s="19"/>
      <c r="G12" s="19"/>
    </row>
    <row r="13" customFormat="false" ht="15" hidden="false" customHeight="true" outlineLevel="0" collapsed="false">
      <c r="A13" s="16" t="s">
        <v>97</v>
      </c>
      <c r="B13" s="17" t="s">
        <v>98</v>
      </c>
      <c r="C13" s="17" t="s">
        <v>99</v>
      </c>
      <c r="D13" s="18" t="s">
        <v>65</v>
      </c>
      <c r="E13" s="18" t="s">
        <v>66</v>
      </c>
      <c r="F13" s="19"/>
      <c r="G13" s="19"/>
    </row>
    <row r="14" customFormat="false" ht="15" hidden="false" customHeight="true" outlineLevel="0" collapsed="false">
      <c r="A14" s="16" t="s">
        <v>100</v>
      </c>
      <c r="B14" s="17" t="s">
        <v>101</v>
      </c>
      <c r="C14" s="17" t="s">
        <v>102</v>
      </c>
      <c r="D14" s="18" t="s">
        <v>65</v>
      </c>
      <c r="E14" s="18" t="s">
        <v>66</v>
      </c>
      <c r="F14" s="19"/>
      <c r="G14" s="19"/>
    </row>
    <row r="15" customFormat="false" ht="15" hidden="false" customHeight="true" outlineLevel="0" collapsed="false">
      <c r="A15" s="16" t="s">
        <v>103</v>
      </c>
      <c r="B15" s="17" t="s">
        <v>104</v>
      </c>
      <c r="C15" s="17" t="s">
        <v>105</v>
      </c>
      <c r="D15" s="18" t="s">
        <v>65</v>
      </c>
      <c r="E15" s="18" t="s">
        <v>66</v>
      </c>
      <c r="F15" s="19"/>
      <c r="G15" s="19"/>
    </row>
    <row r="16" customFormat="false" ht="15" hidden="false" customHeight="true" outlineLevel="0" collapsed="false">
      <c r="A16" s="16" t="s">
        <v>106</v>
      </c>
      <c r="B16" s="17" t="s">
        <v>107</v>
      </c>
      <c r="C16" s="17" t="s">
        <v>108</v>
      </c>
      <c r="D16" s="18" t="s">
        <v>65</v>
      </c>
      <c r="E16" s="18" t="s">
        <v>66</v>
      </c>
      <c r="F16" s="19"/>
      <c r="G16" s="19"/>
    </row>
    <row r="17" customFormat="false" ht="15" hidden="false" customHeight="true" outlineLevel="0" collapsed="false">
      <c r="A17" s="16" t="s">
        <v>109</v>
      </c>
      <c r="B17" s="17" t="s">
        <v>110</v>
      </c>
      <c r="C17" s="17" t="s">
        <v>111</v>
      </c>
      <c r="D17" s="18" t="s">
        <v>65</v>
      </c>
      <c r="E17" s="18" t="s">
        <v>66</v>
      </c>
      <c r="F17" s="19"/>
      <c r="G17" s="19"/>
    </row>
    <row r="18" customFormat="false" ht="15" hidden="false" customHeight="true" outlineLevel="0" collapsed="false">
      <c r="A18" s="16" t="s">
        <v>112</v>
      </c>
      <c r="B18" s="17" t="s">
        <v>113</v>
      </c>
      <c r="C18" s="17" t="s">
        <v>114</v>
      </c>
      <c r="D18" s="18" t="s">
        <v>65</v>
      </c>
      <c r="E18" s="18" t="s">
        <v>66</v>
      </c>
      <c r="F18" s="19"/>
      <c r="G18" s="19"/>
    </row>
    <row r="19" customFormat="false" ht="15" hidden="false" customHeight="true" outlineLevel="0" collapsed="false">
      <c r="A19" s="16" t="s">
        <v>115</v>
      </c>
      <c r="B19" s="17" t="s">
        <v>116</v>
      </c>
      <c r="C19" s="17" t="s">
        <v>117</v>
      </c>
      <c r="D19" s="18" t="s">
        <v>65</v>
      </c>
      <c r="E19" s="18" t="s">
        <v>66</v>
      </c>
      <c r="F19" s="19"/>
      <c r="G19" s="19"/>
    </row>
    <row r="20" customFormat="false" ht="15" hidden="false" customHeight="true" outlineLevel="0" collapsed="false">
      <c r="A20" s="16" t="s">
        <v>118</v>
      </c>
      <c r="B20" s="17" t="s">
        <v>119</v>
      </c>
      <c r="C20" s="17" t="s">
        <v>120</v>
      </c>
      <c r="D20" s="18" t="s">
        <v>65</v>
      </c>
      <c r="E20" s="18" t="s">
        <v>66</v>
      </c>
      <c r="F20" s="19"/>
      <c r="G20" s="19"/>
    </row>
    <row r="21" customFormat="false" ht="15" hidden="false" customHeight="true" outlineLevel="0" collapsed="false">
      <c r="A21" s="16" t="s">
        <v>121</v>
      </c>
      <c r="B21" s="17" t="s">
        <v>122</v>
      </c>
      <c r="C21" s="17" t="s">
        <v>123</v>
      </c>
      <c r="D21" s="18" t="s">
        <v>65</v>
      </c>
      <c r="E21" s="18" t="s">
        <v>66</v>
      </c>
      <c r="F21" s="19"/>
      <c r="G21" s="19"/>
    </row>
    <row r="22" customFormat="false" ht="15" hidden="false" customHeight="true" outlineLevel="0" collapsed="false">
      <c r="A22" s="16" t="s">
        <v>124</v>
      </c>
      <c r="B22" s="17" t="s">
        <v>125</v>
      </c>
      <c r="C22" s="17" t="s">
        <v>126</v>
      </c>
      <c r="D22" s="18" t="s">
        <v>65</v>
      </c>
      <c r="E22" s="18" t="s">
        <v>66</v>
      </c>
      <c r="F22" s="19"/>
      <c r="G22" s="19"/>
    </row>
    <row r="23" customFormat="false" ht="15" hidden="false" customHeight="true" outlineLevel="0" collapsed="false">
      <c r="A23" s="16" t="s">
        <v>127</v>
      </c>
      <c r="B23" s="17" t="s">
        <v>128</v>
      </c>
      <c r="C23" s="17" t="s">
        <v>129</v>
      </c>
      <c r="D23" s="18" t="s">
        <v>65</v>
      </c>
      <c r="E23" s="18" t="s">
        <v>66</v>
      </c>
      <c r="F23" s="19"/>
      <c r="G23" s="19"/>
    </row>
    <row r="24" customFormat="false" ht="15" hidden="false" customHeight="true" outlineLevel="0" collapsed="false">
      <c r="A24" s="16" t="s">
        <v>130</v>
      </c>
      <c r="B24" s="17" t="s">
        <v>131</v>
      </c>
      <c r="C24" s="17" t="s">
        <v>132</v>
      </c>
      <c r="D24" s="18" t="s">
        <v>65</v>
      </c>
      <c r="E24" s="18" t="s">
        <v>66</v>
      </c>
      <c r="F24" s="19"/>
      <c r="G24" s="19"/>
    </row>
    <row r="25" customFormat="false" ht="15" hidden="false" customHeight="true" outlineLevel="0" collapsed="false">
      <c r="A25" s="16" t="s">
        <v>133</v>
      </c>
      <c r="B25" s="17" t="s">
        <v>134</v>
      </c>
      <c r="C25" s="17" t="s">
        <v>135</v>
      </c>
      <c r="D25" s="18" t="s">
        <v>65</v>
      </c>
      <c r="E25" s="18" t="s">
        <v>66</v>
      </c>
      <c r="F25" s="19"/>
      <c r="G25" s="19"/>
    </row>
    <row r="26" customFormat="false" ht="15" hidden="false" customHeight="true" outlineLevel="0" collapsed="false">
      <c r="A26" s="16" t="s">
        <v>136</v>
      </c>
      <c r="B26" s="17" t="s">
        <v>137</v>
      </c>
      <c r="C26" s="17" t="s">
        <v>138</v>
      </c>
      <c r="D26" s="18" t="s">
        <v>65</v>
      </c>
      <c r="E26" s="18" t="s">
        <v>66</v>
      </c>
      <c r="F26" s="19"/>
      <c r="G26" s="19"/>
    </row>
    <row r="27" customFormat="false" ht="15" hidden="false" customHeight="true" outlineLevel="0" collapsed="false">
      <c r="A27" s="16" t="s">
        <v>139</v>
      </c>
      <c r="B27" s="17" t="s">
        <v>140</v>
      </c>
      <c r="C27" s="17" t="s">
        <v>141</v>
      </c>
      <c r="D27" s="18" t="s">
        <v>65</v>
      </c>
      <c r="E27" s="18" t="s">
        <v>66</v>
      </c>
      <c r="F27" s="19"/>
      <c r="G27" s="19"/>
    </row>
    <row r="28" customFormat="false" ht="15" hidden="false" customHeight="true" outlineLevel="0" collapsed="false">
      <c r="A28" s="16" t="s">
        <v>142</v>
      </c>
      <c r="B28" s="17" t="s">
        <v>143</v>
      </c>
      <c r="C28" s="17" t="s">
        <v>144</v>
      </c>
      <c r="D28" s="18" t="s">
        <v>65</v>
      </c>
      <c r="E28" s="18" t="s">
        <v>66</v>
      </c>
      <c r="F28" s="19"/>
      <c r="G28" s="19"/>
    </row>
    <row r="29" customFormat="false" ht="15" hidden="false" customHeight="true" outlineLevel="0" collapsed="false">
      <c r="A29" s="16" t="s">
        <v>145</v>
      </c>
      <c r="B29" s="17" t="s">
        <v>146</v>
      </c>
      <c r="C29" s="17" t="s">
        <v>147</v>
      </c>
      <c r="D29" s="18" t="s">
        <v>65</v>
      </c>
      <c r="E29" s="18" t="s">
        <v>66</v>
      </c>
      <c r="F29" s="19"/>
      <c r="G29" s="19"/>
    </row>
    <row r="30" customFormat="false" ht="15" hidden="false" customHeight="true" outlineLevel="0" collapsed="false">
      <c r="A30" s="16" t="s">
        <v>148</v>
      </c>
      <c r="B30" s="17" t="s">
        <v>149</v>
      </c>
      <c r="C30" s="17" t="s">
        <v>150</v>
      </c>
      <c r="D30" s="18" t="s">
        <v>65</v>
      </c>
      <c r="E30" s="18" t="s">
        <v>66</v>
      </c>
      <c r="F30" s="19"/>
      <c r="G30" s="19"/>
    </row>
    <row r="31" customFormat="false" ht="15" hidden="false" customHeight="true" outlineLevel="0" collapsed="false">
      <c r="A31" s="16" t="s">
        <v>151</v>
      </c>
      <c r="B31" s="17" t="s">
        <v>152</v>
      </c>
      <c r="C31" s="17" t="s">
        <v>153</v>
      </c>
      <c r="D31" s="18" t="s">
        <v>65</v>
      </c>
      <c r="E31" s="18" t="s">
        <v>66</v>
      </c>
      <c r="F31" s="19"/>
      <c r="G31" s="19"/>
    </row>
    <row r="32" customFormat="false" ht="15" hidden="false" customHeight="true" outlineLevel="0" collapsed="false">
      <c r="A32" s="16" t="s">
        <v>154</v>
      </c>
      <c r="B32" s="17" t="s">
        <v>155</v>
      </c>
      <c r="C32" s="17" t="s">
        <v>156</v>
      </c>
      <c r="D32" s="18" t="s">
        <v>65</v>
      </c>
      <c r="E32" s="18" t="s">
        <v>66</v>
      </c>
      <c r="F32" s="19"/>
      <c r="G32" s="19"/>
    </row>
    <row r="33" customFormat="false" ht="15" hidden="false" customHeight="true" outlineLevel="0" collapsed="false">
      <c r="A33" s="16" t="s">
        <v>157</v>
      </c>
      <c r="B33" s="17" t="s">
        <v>158</v>
      </c>
      <c r="C33" s="17" t="s">
        <v>159</v>
      </c>
      <c r="D33" s="18" t="s">
        <v>65</v>
      </c>
      <c r="E33" s="18" t="s">
        <v>66</v>
      </c>
      <c r="F33" s="19"/>
      <c r="G33" s="19"/>
    </row>
    <row r="34" customFormat="false" ht="15" hidden="false" customHeight="true" outlineLevel="0" collapsed="false">
      <c r="A34" s="16" t="s">
        <v>160</v>
      </c>
      <c r="B34" s="17" t="s">
        <v>161</v>
      </c>
      <c r="C34" s="17" t="s">
        <v>162</v>
      </c>
      <c r="D34" s="18" t="s">
        <v>65</v>
      </c>
      <c r="E34" s="18" t="s">
        <v>66</v>
      </c>
      <c r="F34" s="19"/>
      <c r="G34" s="19"/>
    </row>
    <row r="35" customFormat="false" ht="15" hidden="false" customHeight="true" outlineLevel="0" collapsed="false">
      <c r="A35" s="16" t="s">
        <v>163</v>
      </c>
      <c r="B35" s="17" t="s">
        <v>164</v>
      </c>
      <c r="C35" s="17" t="s">
        <v>165</v>
      </c>
      <c r="D35" s="18" t="s">
        <v>65</v>
      </c>
      <c r="E35" s="18" t="s">
        <v>66</v>
      </c>
      <c r="F35" s="19"/>
      <c r="G35" s="19"/>
    </row>
    <row r="36" customFormat="false" ht="15" hidden="false" customHeight="true" outlineLevel="0" collapsed="false">
      <c r="A36" s="16" t="s">
        <v>166</v>
      </c>
      <c r="B36" s="17" t="s">
        <v>167</v>
      </c>
      <c r="C36" s="17" t="s">
        <v>168</v>
      </c>
      <c r="D36" s="18" t="s">
        <v>65</v>
      </c>
      <c r="E36" s="18" t="s">
        <v>66</v>
      </c>
      <c r="F36" s="19"/>
      <c r="G36" s="19"/>
    </row>
    <row r="37" customFormat="false" ht="15" hidden="false" customHeight="true" outlineLevel="0" collapsed="false">
      <c r="A37" s="16" t="s">
        <v>169</v>
      </c>
      <c r="B37" s="17" t="s">
        <v>170</v>
      </c>
      <c r="C37" s="17" t="s">
        <v>171</v>
      </c>
      <c r="D37" s="18" t="s">
        <v>65</v>
      </c>
      <c r="E37" s="18" t="s">
        <v>66</v>
      </c>
      <c r="F37" s="19"/>
      <c r="G37" s="19"/>
    </row>
    <row r="38" customFormat="false" ht="15" hidden="false" customHeight="true" outlineLevel="0" collapsed="false">
      <c r="A38" s="16" t="s">
        <v>172</v>
      </c>
      <c r="B38" s="17" t="s">
        <v>173</v>
      </c>
      <c r="C38" s="17" t="s">
        <v>174</v>
      </c>
      <c r="D38" s="18" t="s">
        <v>65</v>
      </c>
      <c r="E38" s="18" t="s">
        <v>66</v>
      </c>
      <c r="F38" s="19"/>
      <c r="G38" s="19"/>
    </row>
    <row r="39" customFormat="false" ht="15" hidden="false" customHeight="true" outlineLevel="0" collapsed="false">
      <c r="A39" s="16" t="s">
        <v>175</v>
      </c>
      <c r="B39" s="17" t="s">
        <v>176</v>
      </c>
      <c r="C39" s="17" t="s">
        <v>177</v>
      </c>
      <c r="D39" s="18" t="s">
        <v>65</v>
      </c>
      <c r="E39" s="18" t="s">
        <v>66</v>
      </c>
      <c r="F39" s="19"/>
      <c r="G39" s="19"/>
    </row>
    <row r="40" customFormat="false" ht="15" hidden="false" customHeight="true" outlineLevel="0" collapsed="false">
      <c r="A40" s="16" t="s">
        <v>178</v>
      </c>
      <c r="B40" s="17" t="s">
        <v>179</v>
      </c>
      <c r="C40" s="17" t="s">
        <v>180</v>
      </c>
      <c r="D40" s="18" t="s">
        <v>65</v>
      </c>
      <c r="E40" s="18" t="s">
        <v>66</v>
      </c>
      <c r="F40" s="19"/>
      <c r="G40" s="19"/>
    </row>
    <row r="41" customFormat="false" ht="15" hidden="false" customHeight="true" outlineLevel="0" collapsed="false">
      <c r="A41" s="16" t="s">
        <v>181</v>
      </c>
      <c r="B41" s="17" t="s">
        <v>182</v>
      </c>
      <c r="C41" s="17" t="s">
        <v>183</v>
      </c>
      <c r="D41" s="18" t="s">
        <v>65</v>
      </c>
      <c r="E41" s="18" t="s">
        <v>66</v>
      </c>
      <c r="F41" s="19"/>
      <c r="G41" s="19"/>
    </row>
    <row r="42" customFormat="false" ht="15" hidden="false" customHeight="true" outlineLevel="0" collapsed="false">
      <c r="A42" s="16" t="s">
        <v>184</v>
      </c>
      <c r="B42" s="17" t="s">
        <v>185</v>
      </c>
      <c r="C42" s="17" t="s">
        <v>186</v>
      </c>
      <c r="D42" s="18" t="s">
        <v>65</v>
      </c>
      <c r="E42" s="18" t="s">
        <v>66</v>
      </c>
      <c r="F42" s="19"/>
      <c r="G42" s="19"/>
    </row>
    <row r="43" customFormat="false" ht="15" hidden="false" customHeight="true" outlineLevel="0" collapsed="false">
      <c r="A43" s="16" t="s">
        <v>187</v>
      </c>
      <c r="B43" s="17" t="s">
        <v>188</v>
      </c>
      <c r="C43" s="17" t="s">
        <v>189</v>
      </c>
      <c r="D43" s="18" t="s">
        <v>65</v>
      </c>
      <c r="E43" s="18" t="s">
        <v>66</v>
      </c>
      <c r="F43" s="19"/>
      <c r="G43" s="19"/>
    </row>
    <row r="44" customFormat="false" ht="15" hidden="false" customHeight="true" outlineLevel="0" collapsed="false">
      <c r="A44" s="16" t="s">
        <v>190</v>
      </c>
      <c r="B44" s="17" t="s">
        <v>191</v>
      </c>
      <c r="C44" s="17" t="s">
        <v>192</v>
      </c>
      <c r="D44" s="18" t="s">
        <v>65</v>
      </c>
      <c r="E44" s="18" t="s">
        <v>66</v>
      </c>
      <c r="F44" s="19"/>
      <c r="G44" s="19"/>
    </row>
    <row r="45" customFormat="false" ht="15" hidden="false" customHeight="true" outlineLevel="0" collapsed="false">
      <c r="A45" s="16" t="s">
        <v>193</v>
      </c>
      <c r="B45" s="17" t="s">
        <v>194</v>
      </c>
      <c r="C45" s="17" t="s">
        <v>195</v>
      </c>
      <c r="D45" s="18" t="s">
        <v>65</v>
      </c>
      <c r="E45" s="18" t="s">
        <v>66</v>
      </c>
      <c r="F45" s="19"/>
      <c r="G45" s="19"/>
    </row>
    <row r="46" customFormat="false" ht="15" hidden="false" customHeight="true" outlineLevel="0" collapsed="false">
      <c r="A46" s="16" t="s">
        <v>196</v>
      </c>
      <c r="B46" s="17" t="s">
        <v>197</v>
      </c>
      <c r="C46" s="17" t="s">
        <v>198</v>
      </c>
      <c r="D46" s="18" t="s">
        <v>65</v>
      </c>
      <c r="E46" s="18" t="s">
        <v>66</v>
      </c>
      <c r="F46" s="19"/>
      <c r="G46" s="19"/>
    </row>
    <row r="47" customFormat="false" ht="15" hidden="false" customHeight="true" outlineLevel="0" collapsed="false">
      <c r="A47" s="16" t="s">
        <v>199</v>
      </c>
      <c r="B47" s="17" t="s">
        <v>200</v>
      </c>
      <c r="C47" s="17" t="s">
        <v>201</v>
      </c>
      <c r="D47" s="18" t="s">
        <v>65</v>
      </c>
      <c r="E47" s="18" t="s">
        <v>66</v>
      </c>
      <c r="F47" s="19"/>
      <c r="G47" s="19"/>
    </row>
    <row r="48" customFormat="false" ht="15" hidden="false" customHeight="true" outlineLevel="0" collapsed="false">
      <c r="A48" s="16" t="s">
        <v>202</v>
      </c>
      <c r="B48" s="17" t="s">
        <v>203</v>
      </c>
      <c r="C48" s="17" t="s">
        <v>204</v>
      </c>
      <c r="D48" s="18" t="s">
        <v>65</v>
      </c>
      <c r="E48" s="18" t="s">
        <v>66</v>
      </c>
      <c r="F48" s="19"/>
      <c r="G48" s="19"/>
    </row>
  </sheetData>
  <hyperlinks>
    <hyperlink ref="B2" r:id="rId1" display="https://www.pref.hokkaido.lg.jp/"/>
    <hyperlink ref="C2" r:id="rId2" display="site:pref.hokkaido.lg.jp 就職氷河期"/>
    <hyperlink ref="D2" r:id="rId3" display="報道発表内を検索"/>
    <hyperlink ref="E2" r:id="rId4" display="労働局/HWを検索"/>
    <hyperlink ref="B3" r:id="rId5" display="https://www.pref.aomori.lg.jp/"/>
    <hyperlink ref="C3" r:id="rId6" display="site:pref.aomori.lg.jp 就職氷河期"/>
    <hyperlink ref="D3" r:id="rId7" display="報道発表内を検索"/>
    <hyperlink ref="E3" r:id="rId8" display="労働局/HWを検索"/>
    <hyperlink ref="B4" r:id="rId9" display="https://www.pref.iwate.jp/"/>
    <hyperlink ref="C4" r:id="rId10" display="site:pref.iwate.jp 就職氷河期"/>
    <hyperlink ref="D4" r:id="rId11" display="報道発表内を検索"/>
    <hyperlink ref="E4" r:id="rId12" display="労働局/HWを検索"/>
    <hyperlink ref="B5" r:id="rId13" display="https://www.pref.miyagi.jp/"/>
    <hyperlink ref="C5" r:id="rId14" display="site:pref.miyagi.jp 就職氷河期"/>
    <hyperlink ref="D5" r:id="rId15" display="報道発表内を検索"/>
    <hyperlink ref="E5" r:id="rId16" display="労働局/HWを検索"/>
    <hyperlink ref="B6" r:id="rId17" display="https://www.pref.akita.lg.jp/"/>
    <hyperlink ref="C6" r:id="rId18" display="site:pref.akita.lg.jp 就職氷河期"/>
    <hyperlink ref="D6" r:id="rId19" display="報道発表内を検索"/>
    <hyperlink ref="E6" r:id="rId20" display="労働局/HWを検索"/>
    <hyperlink ref="B7" r:id="rId21" display="https://www.pref.yamagata.jp/"/>
    <hyperlink ref="C7" r:id="rId22" display="site:pref.yamagata.jp 就職氷河期"/>
    <hyperlink ref="D7" r:id="rId23" display="報道発表内を検索"/>
    <hyperlink ref="E7" r:id="rId24" display="労働局/HWを検索"/>
    <hyperlink ref="B8" r:id="rId25" display="https://www.pref.fukushima.lg.jp/"/>
    <hyperlink ref="C8" r:id="rId26" display="site:pref.fukushima.lg.jp 就職氷河期"/>
    <hyperlink ref="D8" r:id="rId27" display="報道発表内を検索"/>
    <hyperlink ref="E8" r:id="rId28" display="労働局/HWを検索"/>
    <hyperlink ref="B9" r:id="rId29" display="https://www.pref.ibaraki.jp/"/>
    <hyperlink ref="C9" r:id="rId30" display="site:pref.ibaraki.jp 就職氷河期"/>
    <hyperlink ref="D9" r:id="rId31" display="報道発表内を検索"/>
    <hyperlink ref="E9" r:id="rId32" display="労働局/HWを検索"/>
    <hyperlink ref="B10" r:id="rId33" display="https://www.pref.tochigi.lg.jp/"/>
    <hyperlink ref="C10" r:id="rId34" display="site:pref.tochigi.lg.jp 就職氷河期"/>
    <hyperlink ref="D10" r:id="rId35" display="報道発表内を検索"/>
    <hyperlink ref="E10" r:id="rId36" display="労働局/HWを検索"/>
    <hyperlink ref="B11" r:id="rId37" display="https://www.pref.gunma.jp/"/>
    <hyperlink ref="C11" r:id="rId38" display="site:pref.gunma.jp 就職氷河期"/>
    <hyperlink ref="D11" r:id="rId39" display="報道発表内を検索"/>
    <hyperlink ref="E11" r:id="rId40" display="労働局/HWを検索"/>
    <hyperlink ref="B12" r:id="rId41" display="https://www.pref.saitama.lg.jp/"/>
    <hyperlink ref="C12" r:id="rId42" display="site:pref.saitama.lg.jp 就職氷河期"/>
    <hyperlink ref="D12" r:id="rId43" display="報道発表内を検索"/>
    <hyperlink ref="E12" r:id="rId44" display="労働局/HWを検索"/>
    <hyperlink ref="B13" r:id="rId45" display="https://www.pref.chiba.lg.jp/"/>
    <hyperlink ref="C13" r:id="rId46" display="site:pref.chiba.lg.jp 就職氷河期"/>
    <hyperlink ref="D13" r:id="rId47" display="報道発表内を検索"/>
    <hyperlink ref="E13" r:id="rId48" display="労働局/HWを検索"/>
    <hyperlink ref="B14" r:id="rId49" display="https://www.metro.tokyo.lg.jp/"/>
    <hyperlink ref="C14" r:id="rId50" display="site:metro.tokyo.lg.jp 就職氷河期"/>
    <hyperlink ref="D14" r:id="rId51" display="報道発表内を検索"/>
    <hyperlink ref="E14" r:id="rId52" display="労働局/HWを検索"/>
    <hyperlink ref="B15" r:id="rId53" display="https://www.pref.kanagawa.jp/"/>
    <hyperlink ref="C15" r:id="rId54" display="site:pref.kanagawa.jp 就職氷河期"/>
    <hyperlink ref="D15" r:id="rId55" display="報道発表内を検索"/>
    <hyperlink ref="E15" r:id="rId56" display="労働局/HWを検索"/>
    <hyperlink ref="B16" r:id="rId57" display="https://www.pref.niigata.lg.jp/"/>
    <hyperlink ref="C16" r:id="rId58" display="site:pref.niigata.lg.jp 就職氷河期"/>
    <hyperlink ref="D16" r:id="rId59" display="報道発表内を検索"/>
    <hyperlink ref="E16" r:id="rId60" display="労働局/HWを検索"/>
    <hyperlink ref="B17" r:id="rId61" display="https://www.pref.toyama.jp/"/>
    <hyperlink ref="C17" r:id="rId62" display="site:pref.toyama.jp 就職氷河期"/>
    <hyperlink ref="D17" r:id="rId63" display="報道発表内を検索"/>
    <hyperlink ref="E17" r:id="rId64" display="労働局/HWを検索"/>
    <hyperlink ref="B18" r:id="rId65" display="https://www.pref.ishikawa.lg.jp/"/>
    <hyperlink ref="C18" r:id="rId66" display="site:pref.ishikawa.lg.jp 就職氷河期"/>
    <hyperlink ref="D18" r:id="rId67" display="報道発表内を検索"/>
    <hyperlink ref="E18" r:id="rId68" display="労働局/HWを検索"/>
    <hyperlink ref="B19" r:id="rId69" display="https://www.pref.fukui.lg.jp/"/>
    <hyperlink ref="C19" r:id="rId70" display="site:pref.fukui.lg.jp 就職氷河期"/>
    <hyperlink ref="D19" r:id="rId71" display="報道発表内を検索"/>
    <hyperlink ref="E19" r:id="rId72" display="労働局/HWを検索"/>
    <hyperlink ref="B20" r:id="rId73" display="https://www.pref.yamanashi.jp/"/>
    <hyperlink ref="C20" r:id="rId74" display="site:pref.yamanashi.jp 就職氷河期"/>
    <hyperlink ref="D20" r:id="rId75" display="報道発表内を検索"/>
    <hyperlink ref="E20" r:id="rId76" display="労働局/HWを検索"/>
    <hyperlink ref="B21" r:id="rId77" display="https://www.pref.nagano.lg.jp/"/>
    <hyperlink ref="C21" r:id="rId78" display="site:pref.nagano.lg.jp 就職氷河期"/>
    <hyperlink ref="D21" r:id="rId79" display="報道発表内を検索"/>
    <hyperlink ref="E21" r:id="rId80" display="労働局/HWを検索"/>
    <hyperlink ref="B22" r:id="rId81" display="https://www.pref.gifu.lg.jp/"/>
    <hyperlink ref="C22" r:id="rId82" display="site:pref.gifu.lg.jp 就職氷河期"/>
    <hyperlink ref="D22" r:id="rId83" display="報道発表内を検索"/>
    <hyperlink ref="E22" r:id="rId84" display="労働局/HWを検索"/>
    <hyperlink ref="B23" r:id="rId85" display="https://www.pref.shizuoka.jp/"/>
    <hyperlink ref="C23" r:id="rId86" display="site:pref.shizuoka.jp 就職氷河期"/>
    <hyperlink ref="D23" r:id="rId87" display="報道発表内を検索"/>
    <hyperlink ref="E23" r:id="rId88" display="労働局/HWを検索"/>
    <hyperlink ref="B24" r:id="rId89" display="https://www.pref.aichi.jp/"/>
    <hyperlink ref="C24" r:id="rId90" display="site:pref.aichi.jp 就職氷河期"/>
    <hyperlink ref="D24" r:id="rId91" display="報道発表内を検索"/>
    <hyperlink ref="E24" r:id="rId92" display="労働局/HWを検索"/>
    <hyperlink ref="B25" r:id="rId93" display="https://www.pref.mie.lg.jp/"/>
    <hyperlink ref="C25" r:id="rId94" display="site:pref.mie.lg.jp 就職氷河期"/>
    <hyperlink ref="D25" r:id="rId95" display="報道発表内を検索"/>
    <hyperlink ref="E25" r:id="rId96" display="労働局/HWを検索"/>
    <hyperlink ref="B26" r:id="rId97" display="https://www.pref.shiga.lg.jp/"/>
    <hyperlink ref="C26" r:id="rId98" display="site:pref.shiga.lg.jp 就職氷河期"/>
    <hyperlink ref="D26" r:id="rId99" display="報道発表内を検索"/>
    <hyperlink ref="E26" r:id="rId100" display="労働局/HWを検索"/>
    <hyperlink ref="B27" r:id="rId101" display="https://www.pref.kyoto.jp/"/>
    <hyperlink ref="C27" r:id="rId102" display="site:pref.kyoto.jp 就職氷河期"/>
    <hyperlink ref="D27" r:id="rId103" display="報道発表内を検索"/>
    <hyperlink ref="E27" r:id="rId104" display="労働局/HWを検索"/>
    <hyperlink ref="B28" r:id="rId105" display="https://www.pref.osaka.lg.jp/"/>
    <hyperlink ref="C28" r:id="rId106" display="site:pref.osaka.lg.jp 就職氷河期"/>
    <hyperlink ref="D28" r:id="rId107" display="報道発表内を検索"/>
    <hyperlink ref="E28" r:id="rId108" display="労働局/HWを検索"/>
    <hyperlink ref="B29" r:id="rId109" display="https://web.pref.hyogo.lg.jp/"/>
    <hyperlink ref="C29" r:id="rId110" display="site:pref.hyogo.lg.jp 就職氷河期"/>
    <hyperlink ref="D29" r:id="rId111" display="報道発表内を検索"/>
    <hyperlink ref="E29" r:id="rId112" display="労働局/HWを検索"/>
    <hyperlink ref="B30" r:id="rId113" display="https://www.pref.nara.jp/"/>
    <hyperlink ref="C30" r:id="rId114" display="site:pref.nara.jp 就職氷河期"/>
    <hyperlink ref="D30" r:id="rId115" display="報道発表内を検索"/>
    <hyperlink ref="E30" r:id="rId116" display="労働局/HWを検索"/>
    <hyperlink ref="B31" r:id="rId117" display="https://www.pref.wakayama.lg.jp/"/>
    <hyperlink ref="C31" r:id="rId118" display="site:pref.wakayama.lg.jp 就職氷河期"/>
    <hyperlink ref="D31" r:id="rId119" display="報道発表内を検索"/>
    <hyperlink ref="E31" r:id="rId120" display="労働局/HWを検索"/>
    <hyperlink ref="B32" r:id="rId121" display="https://www.pref.tottori.lg.jp/"/>
    <hyperlink ref="C32" r:id="rId122" display="site:pref.tottori.lg.jp 就職氷河期"/>
    <hyperlink ref="D32" r:id="rId123" display="報道発表内を検索"/>
    <hyperlink ref="E32" r:id="rId124" display="労働局/HWを検索"/>
    <hyperlink ref="B33" r:id="rId125" display="https://www.pref.shimane.lg.jp/"/>
    <hyperlink ref="C33" r:id="rId126" display="site:pref.shimane.lg.jp 就職氷河期"/>
    <hyperlink ref="D33" r:id="rId127" display="報道発表内を検索"/>
    <hyperlink ref="E33" r:id="rId128" display="労働局/HWを検索"/>
    <hyperlink ref="B34" r:id="rId129" display="https://www.pref.okayama.jp/"/>
    <hyperlink ref="C34" r:id="rId130" display="site:pref.okayama.jp 就職氷河期"/>
    <hyperlink ref="D34" r:id="rId131" display="報道発表内を検索"/>
    <hyperlink ref="E34" r:id="rId132" display="労働局/HWを検索"/>
    <hyperlink ref="B35" r:id="rId133" display="https://www.pref.hiroshima.lg.jp/"/>
    <hyperlink ref="C35" r:id="rId134" display="site:pref.hiroshima.lg.jp 就職氷河期"/>
    <hyperlink ref="D35" r:id="rId135" display="報道発表内を検索"/>
    <hyperlink ref="E35" r:id="rId136" display="労働局/HWを検索"/>
    <hyperlink ref="B36" r:id="rId137" display="https://www.pref.yamaguchi.lg.jp/"/>
    <hyperlink ref="C36" r:id="rId138" display="site:pref.yamaguchi.lg.jp 就職氷河期"/>
    <hyperlink ref="D36" r:id="rId139" display="報道発表内を検索"/>
    <hyperlink ref="E36" r:id="rId140" display="労働局/HWを検索"/>
    <hyperlink ref="B37" r:id="rId141" display="https://www.pref.tokushima.lg.jp/"/>
    <hyperlink ref="C37" r:id="rId142" display="site:pref.tokushima.lg.jp 就職氷河期"/>
    <hyperlink ref="D37" r:id="rId143" display="報道発表内を検索"/>
    <hyperlink ref="E37" r:id="rId144" display="労働局/HWを検索"/>
    <hyperlink ref="B38" r:id="rId145" display="https://www.pref.kagawa.lg.jp/"/>
    <hyperlink ref="C38" r:id="rId146" display="site:pref.kagawa.lg.jp 就職氷河期"/>
    <hyperlink ref="D38" r:id="rId147" display="報道発表内を検索"/>
    <hyperlink ref="E38" r:id="rId148" display="労働局/HWを検索"/>
    <hyperlink ref="B39" r:id="rId149" display="https://www.pref.ehime.jp/"/>
    <hyperlink ref="C39" r:id="rId150" display="site:pref.ehime.jp 就職氷河期"/>
    <hyperlink ref="D39" r:id="rId151" display="報道発表内を検索"/>
    <hyperlink ref="E39" r:id="rId152" display="労働局/HWを検索"/>
    <hyperlink ref="B40" r:id="rId153" display="https://www.pref.kochi.lg.jp/"/>
    <hyperlink ref="C40" r:id="rId154" display="site:pref.kochi.lg.jp 就職氷河期"/>
    <hyperlink ref="D40" r:id="rId155" display="報道発表内を検索"/>
    <hyperlink ref="E40" r:id="rId156" display="労働局/HWを検索"/>
    <hyperlink ref="B41" r:id="rId157" display="https://www.pref.fukuoka.lg.jp/"/>
    <hyperlink ref="C41" r:id="rId158" display="site:pref.fukuoka.lg.jp 就職氷河期"/>
    <hyperlink ref="D41" r:id="rId159" display="報道発表内を検索"/>
    <hyperlink ref="E41" r:id="rId160" display="労働局/HWを検索"/>
    <hyperlink ref="B42" r:id="rId161" display="https://www.pref.saga.lg.jp/"/>
    <hyperlink ref="C42" r:id="rId162" display="site:pref.saga.lg.jp 就職氷河期"/>
    <hyperlink ref="D42" r:id="rId163" display="報道発表内を検索"/>
    <hyperlink ref="E42" r:id="rId164" display="労働局/HWを検索"/>
    <hyperlink ref="B43" r:id="rId165" display="https://www.pref.nagasaki.jp/"/>
    <hyperlink ref="C43" r:id="rId166" display="site:pref.nagasaki.jp 就職氷河期"/>
    <hyperlink ref="D43" r:id="rId167" display="報道発表内を検索"/>
    <hyperlink ref="E43" r:id="rId168" display="労働局/HWを検索"/>
    <hyperlink ref="B44" r:id="rId169" display="https://www.pref.kumamoto.jp/"/>
    <hyperlink ref="C44" r:id="rId170" display="site:pref.kumamoto.jp 就職氷河期"/>
    <hyperlink ref="D44" r:id="rId171" display="報道発表内を検索"/>
    <hyperlink ref="E44" r:id="rId172" display="労働局/HWを検索"/>
    <hyperlink ref="B45" r:id="rId173" display="https://www.pref.oita.jp/"/>
    <hyperlink ref="C45" r:id="rId174" display="site:pref.oita.jp 就職氷河期"/>
    <hyperlink ref="D45" r:id="rId175" display="報道発表内を検索"/>
    <hyperlink ref="E45" r:id="rId176" display="労働局/HWを検索"/>
    <hyperlink ref="B46" r:id="rId177" display="https://www.pref.miyazaki.lg.jp/"/>
    <hyperlink ref="C46" r:id="rId178" display="site:pref.miyazaki.lg.jp 就職氷河期"/>
    <hyperlink ref="D46" r:id="rId179" display="報道発表内を検索"/>
    <hyperlink ref="E46" r:id="rId180" display="労働局/HWを検索"/>
    <hyperlink ref="B47" r:id="rId181" display="https://www.pref.kagoshima.jp/"/>
    <hyperlink ref="C47" r:id="rId182" display="site:pref.kagoshima.jp 就職氷河期"/>
    <hyperlink ref="D47" r:id="rId183" display="報道発表内を検索"/>
    <hyperlink ref="E47" r:id="rId184" display="労働局/HWを検索"/>
    <hyperlink ref="B48" r:id="rId185" display="https://www.pref.okinawa.jp/"/>
    <hyperlink ref="C48" r:id="rId186" display="site:pref.okinawa.jp 就職氷河期"/>
    <hyperlink ref="D48" r:id="rId187" display="報道発表内を検索"/>
    <hyperlink ref="E48" r:id="rId188" display="労働局/HWを検索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46"/>
  </cols>
  <sheetData>
    <row r="1" customFormat="false" ht="18.75" hidden="false" customHeight="true" outlineLevel="0" collapsed="false">
      <c r="A1" s="20" t="s">
        <v>205</v>
      </c>
    </row>
    <row r="2" customFormat="false" ht="15" hidden="false" customHeight="true" outlineLevel="0" collapsed="false">
      <c r="A2" s="21" t="s">
        <v>206</v>
      </c>
      <c r="B2" s="21" t="s">
        <v>207</v>
      </c>
      <c r="C2" s="21" t="s">
        <v>208</v>
      </c>
    </row>
    <row r="3" customFormat="false" ht="15" hidden="false" customHeight="true" outlineLevel="0" collapsed="false">
      <c r="A3" s="22" t="s">
        <v>209</v>
      </c>
      <c r="B3" s="22" t="n">
        <f aca="false">COUNTIFS(収集ログ!$P:$P,$A3,収集ログ!$K:$K,1,収集ログ!$E:$E,"狭義")</f>
        <v>2</v>
      </c>
      <c r="C3" s="22" t="n">
        <f aca="false">COUNTIFS(収集ログ!$P:$P,$A3,収集ログ!$K:$K,1)</f>
        <v>2</v>
      </c>
    </row>
    <row r="4" customFormat="false" ht="15" hidden="false" customHeight="true" outlineLevel="0" collapsed="false">
      <c r="A4" s="22" t="s">
        <v>210</v>
      </c>
      <c r="B4" s="22" t="n">
        <f aca="false">COUNTIFS(収集ログ!$P:$P,$A4,収集ログ!$K:$K,1,収集ログ!$E:$E,"狭義")</f>
        <v>0</v>
      </c>
      <c r="C4" s="22" t="n">
        <f aca="false">COUNTIFS(収集ログ!$P:$P,$A4,収集ログ!$K:$K,1)</f>
        <v>0</v>
      </c>
    </row>
    <row r="5" customFormat="false" ht="15" hidden="false" customHeight="true" outlineLevel="0" collapsed="false">
      <c r="A5" s="22" t="s">
        <v>211</v>
      </c>
      <c r="B5" s="22" t="n">
        <f aca="false">COUNTIFS(収集ログ!$P:$P,$A5,収集ログ!$K:$K,1,収集ログ!$E:$E,"狭義")</f>
        <v>2</v>
      </c>
      <c r="C5" s="22" t="n">
        <f aca="false">COUNTIFS(収集ログ!$P:$P,$A5,収集ログ!$K:$K,1)</f>
        <v>2</v>
      </c>
    </row>
    <row r="6" customFormat="false" ht="15" hidden="false" customHeight="true" outlineLevel="0" collapsed="false">
      <c r="A6" s="22" t="s">
        <v>212</v>
      </c>
      <c r="B6" s="22" t="n">
        <f aca="false">COUNTIFS(収集ログ!$P:$P,$A6,収集ログ!$K:$K,1,収集ログ!$E:$E,"狭義")</f>
        <v>2</v>
      </c>
      <c r="C6" s="22" t="n">
        <f aca="false">COUNTIFS(収集ログ!$P:$P,$A6,収集ログ!$K:$K,1)</f>
        <v>5</v>
      </c>
    </row>
    <row r="7" customFormat="false" ht="15" hidden="false" customHeight="true" outlineLevel="0" collapsed="false">
      <c r="A7" s="22" t="s">
        <v>213</v>
      </c>
      <c r="B7" s="22" t="n">
        <f aca="false">COUNTIFS(収集ログ!$P:$P,$A7,収集ログ!$K:$K,1,収集ログ!$E:$E,"狭義")</f>
        <v>0</v>
      </c>
      <c r="C7" s="22" t="n">
        <f aca="false">COUNTIFS(収集ログ!$P:$P,$A7,収集ログ!$K:$K,1)</f>
        <v>1</v>
      </c>
    </row>
    <row r="8" customFormat="false" ht="15" hidden="false" customHeight="true" outlineLevel="0" collapsed="false">
      <c r="A8" s="22" t="s">
        <v>214</v>
      </c>
      <c r="B8" s="22" t="n">
        <f aca="false">COUNTIFS(収集ログ!$P:$P,$A8,収集ログ!$K:$K,1,収集ログ!$E:$E,"狭義")</f>
        <v>0</v>
      </c>
      <c r="C8" s="22" t="n">
        <f aca="false">COUNTIFS(収集ログ!$P:$P,$A8,収集ログ!$K:$K,1)</f>
        <v>0</v>
      </c>
    </row>
    <row r="9" customFormat="false" ht="15" hidden="false" customHeight="true" outlineLevel="0" collapsed="false">
      <c r="A9" s="23" t="s">
        <v>215</v>
      </c>
      <c r="B9" s="23" t="n">
        <f aca="false">SUM(B3:B8)</f>
        <v>6</v>
      </c>
      <c r="C9" s="23" t="n">
        <f aca="false">SUM(C3:C8)</f>
        <v>10</v>
      </c>
    </row>
    <row r="11" customFormat="false" ht="18.75" hidden="false" customHeight="true" outlineLevel="0" collapsed="false">
      <c r="A11" s="20" t="s">
        <v>216</v>
      </c>
    </row>
    <row r="12" customFormat="false" ht="15" hidden="false" customHeight="true" outlineLevel="0" collapsed="false">
      <c r="A12" s="21" t="s">
        <v>217</v>
      </c>
      <c r="B12" s="21" t="s">
        <v>218</v>
      </c>
    </row>
    <row r="13" customFormat="false" ht="15" hidden="false" customHeight="true" outlineLevel="0" collapsed="false">
      <c r="A13" s="24" t="s">
        <v>219</v>
      </c>
      <c r="B13" s="22" t="n">
        <f aca="false">COUNTIFS(収集ログ!$Q:$Q,$A13,収集ログ!$K:$K,1)</f>
        <v>6</v>
      </c>
    </row>
    <row r="14" customFormat="false" ht="15" hidden="false" customHeight="true" outlineLevel="0" collapsed="false">
      <c r="A14" s="24" t="s">
        <v>220</v>
      </c>
      <c r="B14" s="22" t="n">
        <f aca="false">COUNTIFS(収集ログ!$Q:$Q,$A14,収集ログ!$K:$K,1)</f>
        <v>2</v>
      </c>
    </row>
    <row r="15" customFormat="false" ht="15" hidden="false" customHeight="true" outlineLevel="0" collapsed="false">
      <c r="A15" s="24" t="s">
        <v>221</v>
      </c>
      <c r="B15" s="22" t="n">
        <f aca="false">COUNTIFS(収集ログ!$Q:$Q,$A15,収集ログ!$K:$K,1)</f>
        <v>2</v>
      </c>
    </row>
    <row r="16" customFormat="false" ht="15" hidden="false" customHeight="true" outlineLevel="0" collapsed="false">
      <c r="A16" s="23" t="s">
        <v>215</v>
      </c>
      <c r="B16" s="23" t="n">
        <f aca="false">SUM(B13:B15)</f>
        <v>10</v>
      </c>
    </row>
    <row r="18" customFormat="false" ht="18.75" hidden="false" customHeight="true" outlineLevel="0" collapsed="false">
      <c r="A18" s="20" t="s">
        <v>222</v>
      </c>
    </row>
    <row r="19" customFormat="false" ht="15" hidden="false" customHeight="true" outlineLevel="0" collapsed="false">
      <c r="A19" s="21" t="s">
        <v>223</v>
      </c>
      <c r="B19" s="21" t="s">
        <v>218</v>
      </c>
      <c r="C19" s="21" t="s">
        <v>224</v>
      </c>
    </row>
    <row r="20" customFormat="false" ht="15" hidden="false" customHeight="true" outlineLevel="0" collapsed="false">
      <c r="A20" s="24" t="s">
        <v>225</v>
      </c>
      <c r="B20" s="22" t="n">
        <f aca="false">COUNTIF(収集ログ!$N:$N,"A")</f>
        <v>5</v>
      </c>
      <c r="C20" s="25" t="s">
        <v>226</v>
      </c>
    </row>
    <row r="21" customFormat="false" ht="15" hidden="false" customHeight="true" outlineLevel="0" collapsed="false">
      <c r="A21" s="24" t="s">
        <v>227</v>
      </c>
      <c r="B21" s="22" t="n">
        <f aca="false">COUNTIF(収集ログ!$N:$N,"B")</f>
        <v>6</v>
      </c>
      <c r="C21" s="25" t="s">
        <v>228</v>
      </c>
    </row>
    <row r="22" customFormat="false" ht="15" hidden="false" customHeight="true" outlineLevel="0" collapsed="false">
      <c r="A22" s="24" t="s">
        <v>229</v>
      </c>
      <c r="B22" s="22" t="n">
        <f aca="false">COUNTIF(収集ログ!$N:$N,"C")</f>
        <v>84</v>
      </c>
      <c r="C22" s="25" t="s">
        <v>230</v>
      </c>
    </row>
    <row r="23" customFormat="false" ht="15" hidden="false" customHeight="true" outlineLevel="0" collapsed="false">
      <c r="A23" s="24" t="s">
        <v>231</v>
      </c>
      <c r="B23" s="22" t="n">
        <f aca="false">COUNTIFS(収集ログ!$O:$O,"Googleアラート")</f>
        <v>7</v>
      </c>
      <c r="C23" s="25" t="s">
        <v>232</v>
      </c>
    </row>
    <row r="24" customFormat="false" ht="15" hidden="false" customHeight="true" outlineLevel="0" collapsed="false">
      <c r="A24" s="24" t="s">
        <v>233</v>
      </c>
      <c r="B24" s="22" t="n">
        <f aca="false">COUNTIFS(収集ログ!$O:$O,"Web巡回")</f>
        <v>88</v>
      </c>
      <c r="C24" s="25" t="s">
        <v>232</v>
      </c>
    </row>
    <row r="25" customFormat="false" ht="15" hidden="false" customHeight="true" outlineLevel="0" collapsed="false">
      <c r="A25" s="23" t="s">
        <v>234</v>
      </c>
      <c r="B25" s="23" t="n">
        <f aca="false">B20+B21</f>
        <v>11</v>
      </c>
      <c r="C25" s="26" t="s">
        <v>235</v>
      </c>
    </row>
    <row r="27" customFormat="false" ht="18.75" hidden="false" customHeight="true" outlineLevel="0" collapsed="false">
      <c r="A27" s="27" t="s">
        <v>236</v>
      </c>
    </row>
    <row r="28" customFormat="false" ht="43.5" hidden="false" customHeight="true" outlineLevel="0" collapsed="false">
      <c r="A28" s="28" t="s">
        <v>237</v>
      </c>
      <c r="B28" s="29" t="n">
        <f aca="false">COUNTIF(収集ログ!$R:$R,"あり")</f>
        <v>5</v>
      </c>
      <c r="C28" s="26" t="s">
        <v>238</v>
      </c>
    </row>
    <row r="30" customFormat="false" ht="18.75" hidden="false" customHeight="true" outlineLevel="0" collapsed="false">
      <c r="A30" s="27" t="s">
        <v>239</v>
      </c>
    </row>
    <row r="31" customFormat="false" ht="43.5" hidden="false" customHeight="true" outlineLevel="0" collapsed="false">
      <c r="A31" s="28" t="s">
        <v>240</v>
      </c>
      <c r="B31" s="29" t="n">
        <f aca="false">COUNTIF(収集ログ!$S:$S,"あり")</f>
        <v>6</v>
      </c>
      <c r="C31" s="26" t="s">
        <v>241</v>
      </c>
    </row>
    <row r="32" customFormat="false" ht="15" hidden="false" customHeight="true" outlineLevel="0" collapsed="false">
      <c r="A32" s="30" t="s">
        <v>242</v>
      </c>
      <c r="B32" s="22" t="n">
        <f aca="false">COUNTIF(収集ログ!$T:$T,"継続可能性")</f>
        <v>3</v>
      </c>
      <c r="C32" s="26" t="s">
        <v>243</v>
      </c>
    </row>
    <row r="33" customFormat="false" ht="16.5" hidden="false" customHeight="true" outlineLevel="0" collapsed="false">
      <c r="A33" s="31" t="s">
        <v>244</v>
      </c>
    </row>
    <row r="34" customFormat="false" ht="90" hidden="false" customHeight="true" outlineLevel="0" collapsed="false">
      <c r="A34" s="32" t="s">
        <v>245</v>
      </c>
    </row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>
      <c r="A38" s="33"/>
      <c r="B38" s="29"/>
    </row>
    <row r="40" customFormat="false" ht="18.75" hidden="false" customHeight="true" outlineLevel="0" collapsed="false">
      <c r="A40" s="34" t="s">
        <v>246</v>
      </c>
    </row>
    <row r="41" customFormat="false" ht="29.25" hidden="false" customHeight="true" outlineLevel="0" collapsed="false">
      <c r="A41" s="35" t="s">
        <v>247</v>
      </c>
      <c r="B41" s="35"/>
      <c r="C41" s="35"/>
    </row>
    <row r="42" customFormat="false" ht="29.25" hidden="false" customHeight="true" outlineLevel="0" collapsed="false">
      <c r="A42" s="35"/>
      <c r="B42" s="35"/>
      <c r="C42" s="35"/>
    </row>
    <row r="43" customFormat="false" ht="29.25" hidden="false" customHeight="true" outlineLevel="0" collapsed="false">
      <c r="A43" s="35"/>
      <c r="B43" s="35"/>
      <c r="C43" s="35"/>
    </row>
    <row r="44" customFormat="false" ht="29.25" hidden="false" customHeight="true" outlineLevel="0" collapsed="false">
      <c r="A44" s="35"/>
      <c r="B44" s="35"/>
      <c r="C44" s="35"/>
    </row>
    <row r="45" customFormat="false" ht="39" hidden="false" customHeight="true" outlineLevel="0" collapsed="false">
      <c r="A45" s="35"/>
      <c r="B45" s="35"/>
      <c r="C45" s="35"/>
    </row>
    <row r="46" customFormat="false" ht="15" hidden="false" customHeight="false" outlineLevel="0" collapsed="false">
      <c r="A46" s="35"/>
      <c r="B46" s="35"/>
      <c r="C46" s="35"/>
    </row>
  </sheetData>
  <mergeCells count="1">
    <mergeCell ref="A41:C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36" t="s">
        <v>248</v>
      </c>
      <c r="B1" s="36"/>
      <c r="C1" s="36"/>
    </row>
    <row r="2" customFormat="false" ht="43.5" hidden="false" customHeight="true" outlineLevel="0" collapsed="false">
      <c r="A2" s="37" t="s">
        <v>249</v>
      </c>
      <c r="B2" s="37"/>
      <c r="C2" s="37"/>
    </row>
    <row r="3" customFormat="false" ht="15" hidden="false" customHeight="true" outlineLevel="0" collapsed="false"/>
    <row r="4" customFormat="false" ht="15" hidden="false" customHeight="true" outlineLevel="0" collapsed="false">
      <c r="A4" s="38" t="s">
        <v>250</v>
      </c>
    </row>
    <row r="5" customFormat="false" ht="15" hidden="false" customHeight="true" outlineLevel="0" collapsed="false"/>
    <row r="6" customFormat="false" ht="15" hidden="false" customHeight="true" outlineLevel="0" collapsed="false">
      <c r="A6" s="21" t="s">
        <v>55</v>
      </c>
      <c r="B6" s="21" t="s">
        <v>251</v>
      </c>
      <c r="C6" s="21" t="s">
        <v>252</v>
      </c>
    </row>
    <row r="7" customFormat="false" ht="15" hidden="false" customHeight="true" outlineLevel="0" collapsed="false">
      <c r="A7" s="39" t="s">
        <v>62</v>
      </c>
      <c r="B7" s="40" t="s">
        <v>253</v>
      </c>
      <c r="C7" s="39" t="s">
        <v>254</v>
      </c>
    </row>
    <row r="8" customFormat="false" ht="15" hidden="false" customHeight="true" outlineLevel="0" collapsed="false">
      <c r="A8" s="41" t="s">
        <v>67</v>
      </c>
      <c r="B8" s="42" t="s">
        <v>255</v>
      </c>
      <c r="C8" s="41" t="s">
        <v>256</v>
      </c>
    </row>
    <row r="9" customFormat="false" ht="15" hidden="false" customHeight="true" outlineLevel="0" collapsed="false">
      <c r="A9" s="43" t="s">
        <v>70</v>
      </c>
      <c r="B9" s="44" t="s">
        <v>257</v>
      </c>
      <c r="C9" s="43" t="s">
        <v>258</v>
      </c>
    </row>
    <row r="10" customFormat="false" ht="15" hidden="false" customHeight="true" outlineLevel="0" collapsed="false">
      <c r="A10" s="43" t="s">
        <v>73</v>
      </c>
      <c r="B10" s="44" t="s">
        <v>257</v>
      </c>
      <c r="C10" s="43" t="s">
        <v>259</v>
      </c>
    </row>
    <row r="11" customFormat="false" ht="15" hidden="false" customHeight="true" outlineLevel="0" collapsed="false">
      <c r="A11" s="43" t="s">
        <v>76</v>
      </c>
      <c r="B11" s="44" t="s">
        <v>257</v>
      </c>
      <c r="C11" s="43" t="s">
        <v>260</v>
      </c>
    </row>
    <row r="12" customFormat="false" ht="15" hidden="false" customHeight="true" outlineLevel="0" collapsed="false">
      <c r="A12" s="45" t="s">
        <v>79</v>
      </c>
      <c r="B12" s="46" t="s">
        <v>261</v>
      </c>
      <c r="C12" s="45" t="s">
        <v>262</v>
      </c>
    </row>
    <row r="13" customFormat="false" ht="15" hidden="false" customHeight="true" outlineLevel="0" collapsed="false">
      <c r="A13" s="41" t="s">
        <v>82</v>
      </c>
      <c r="B13" s="42" t="s">
        <v>255</v>
      </c>
      <c r="C13" s="41" t="s">
        <v>263</v>
      </c>
    </row>
    <row r="14" customFormat="false" ht="15" hidden="false" customHeight="true" outlineLevel="0" collapsed="false">
      <c r="A14" s="45" t="s">
        <v>85</v>
      </c>
      <c r="B14" s="46" t="s">
        <v>261</v>
      </c>
      <c r="C14" s="45" t="s">
        <v>262</v>
      </c>
    </row>
    <row r="15" customFormat="false" ht="15" hidden="false" customHeight="true" outlineLevel="0" collapsed="false">
      <c r="A15" s="41" t="s">
        <v>88</v>
      </c>
      <c r="B15" s="42" t="s">
        <v>255</v>
      </c>
      <c r="C15" s="41" t="s">
        <v>264</v>
      </c>
    </row>
    <row r="16" customFormat="false" ht="15" hidden="false" customHeight="true" outlineLevel="0" collapsed="false">
      <c r="A16" s="39" t="s">
        <v>91</v>
      </c>
      <c r="B16" s="40" t="s">
        <v>253</v>
      </c>
      <c r="C16" s="39" t="s">
        <v>265</v>
      </c>
    </row>
    <row r="17" customFormat="false" ht="15" hidden="false" customHeight="true" outlineLevel="0" collapsed="false">
      <c r="A17" s="45" t="s">
        <v>94</v>
      </c>
      <c r="B17" s="46" t="s">
        <v>261</v>
      </c>
      <c r="C17" s="45" t="s">
        <v>262</v>
      </c>
    </row>
    <row r="18" customFormat="false" ht="15" hidden="false" customHeight="true" outlineLevel="0" collapsed="false">
      <c r="A18" s="39" t="s">
        <v>97</v>
      </c>
      <c r="B18" s="40" t="s">
        <v>253</v>
      </c>
      <c r="C18" s="39" t="s">
        <v>266</v>
      </c>
    </row>
    <row r="19" customFormat="false" ht="15" hidden="false" customHeight="true" outlineLevel="0" collapsed="false">
      <c r="A19" s="43" t="s">
        <v>100</v>
      </c>
      <c r="B19" s="44" t="s">
        <v>257</v>
      </c>
      <c r="C19" s="43" t="s">
        <v>267</v>
      </c>
    </row>
    <row r="20" customFormat="false" ht="15" hidden="false" customHeight="true" outlineLevel="0" collapsed="false">
      <c r="A20" s="39" t="s">
        <v>103</v>
      </c>
      <c r="B20" s="40" t="s">
        <v>253</v>
      </c>
      <c r="C20" s="39" t="s">
        <v>268</v>
      </c>
    </row>
    <row r="21" customFormat="false" ht="15" hidden="false" customHeight="true" outlineLevel="0" collapsed="false">
      <c r="A21" s="43" t="s">
        <v>106</v>
      </c>
      <c r="B21" s="44" t="s">
        <v>257</v>
      </c>
      <c r="C21" s="43" t="s">
        <v>269</v>
      </c>
    </row>
    <row r="22" customFormat="false" ht="15" hidden="false" customHeight="true" outlineLevel="0" collapsed="false">
      <c r="A22" s="43" t="s">
        <v>109</v>
      </c>
      <c r="B22" s="44" t="s">
        <v>257</v>
      </c>
      <c r="C22" s="43" t="s">
        <v>270</v>
      </c>
    </row>
    <row r="23" customFormat="false" ht="15" hidden="false" customHeight="true" outlineLevel="0" collapsed="false">
      <c r="A23" s="45" t="s">
        <v>112</v>
      </c>
      <c r="B23" s="46" t="s">
        <v>261</v>
      </c>
      <c r="C23" s="45" t="s">
        <v>262</v>
      </c>
    </row>
    <row r="24" customFormat="false" ht="15" hidden="false" customHeight="true" outlineLevel="0" collapsed="false">
      <c r="A24" s="41" t="s">
        <v>115</v>
      </c>
      <c r="B24" s="42" t="s">
        <v>255</v>
      </c>
      <c r="C24" s="41" t="s">
        <v>271</v>
      </c>
    </row>
    <row r="25" customFormat="false" ht="15" hidden="false" customHeight="true" outlineLevel="0" collapsed="false">
      <c r="A25" s="45" t="s">
        <v>118</v>
      </c>
      <c r="B25" s="46" t="s">
        <v>261</v>
      </c>
      <c r="C25" s="45" t="s">
        <v>262</v>
      </c>
    </row>
    <row r="26" customFormat="false" ht="15" hidden="false" customHeight="true" outlineLevel="0" collapsed="false">
      <c r="A26" s="45" t="s">
        <v>121</v>
      </c>
      <c r="B26" s="46" t="s">
        <v>261</v>
      </c>
      <c r="C26" s="45" t="s">
        <v>262</v>
      </c>
    </row>
    <row r="27" customFormat="false" ht="15" hidden="false" customHeight="true" outlineLevel="0" collapsed="false">
      <c r="A27" s="41" t="s">
        <v>124</v>
      </c>
      <c r="B27" s="42" t="s">
        <v>255</v>
      </c>
      <c r="C27" s="41" t="s">
        <v>272</v>
      </c>
    </row>
    <row r="28" customFormat="false" ht="15" hidden="false" customHeight="true" outlineLevel="0" collapsed="false">
      <c r="A28" s="43" t="s">
        <v>127</v>
      </c>
      <c r="B28" s="44" t="s">
        <v>257</v>
      </c>
      <c r="C28" s="43" t="s">
        <v>273</v>
      </c>
    </row>
    <row r="29" customFormat="false" ht="15" hidden="false" customHeight="true" outlineLevel="0" collapsed="false">
      <c r="A29" s="39" t="s">
        <v>130</v>
      </c>
      <c r="B29" s="40" t="s">
        <v>253</v>
      </c>
      <c r="C29" s="39" t="s">
        <v>274</v>
      </c>
    </row>
    <row r="30" customFormat="false" ht="15" hidden="false" customHeight="true" outlineLevel="0" collapsed="false">
      <c r="A30" s="45" t="s">
        <v>133</v>
      </c>
      <c r="B30" s="46" t="s">
        <v>261</v>
      </c>
      <c r="C30" s="45" t="s">
        <v>262</v>
      </c>
    </row>
    <row r="31" customFormat="false" ht="15" hidden="false" customHeight="true" outlineLevel="0" collapsed="false">
      <c r="A31" s="39" t="s">
        <v>136</v>
      </c>
      <c r="B31" s="40" t="s">
        <v>253</v>
      </c>
      <c r="C31" s="39" t="s">
        <v>275</v>
      </c>
    </row>
    <row r="32" customFormat="false" ht="15" hidden="false" customHeight="true" outlineLevel="0" collapsed="false">
      <c r="A32" s="45" t="s">
        <v>139</v>
      </c>
      <c r="B32" s="46" t="s">
        <v>261</v>
      </c>
      <c r="C32" s="45" t="s">
        <v>262</v>
      </c>
    </row>
    <row r="33" customFormat="false" ht="15" hidden="false" customHeight="true" outlineLevel="0" collapsed="false">
      <c r="A33" s="39" t="s">
        <v>142</v>
      </c>
      <c r="B33" s="40" t="s">
        <v>253</v>
      </c>
      <c r="C33" s="39" t="s">
        <v>276</v>
      </c>
    </row>
    <row r="34" customFormat="false" ht="15" hidden="false" customHeight="true" outlineLevel="0" collapsed="false">
      <c r="A34" s="41" t="s">
        <v>145</v>
      </c>
      <c r="B34" s="42" t="s">
        <v>255</v>
      </c>
      <c r="C34" s="41" t="s">
        <v>277</v>
      </c>
    </row>
    <row r="35" customFormat="false" ht="15" hidden="false" customHeight="true" outlineLevel="0" collapsed="false">
      <c r="A35" s="45" t="s">
        <v>148</v>
      </c>
      <c r="B35" s="46" t="s">
        <v>261</v>
      </c>
      <c r="C35" s="45" t="s">
        <v>262</v>
      </c>
    </row>
    <row r="36" customFormat="false" ht="15" hidden="false" customHeight="true" outlineLevel="0" collapsed="false">
      <c r="A36" s="45" t="s">
        <v>151</v>
      </c>
      <c r="B36" s="46" t="s">
        <v>261</v>
      </c>
      <c r="C36" s="45" t="s">
        <v>262</v>
      </c>
    </row>
    <row r="37" customFormat="false" ht="15" hidden="false" customHeight="true" outlineLevel="0" collapsed="false">
      <c r="A37" s="45" t="s">
        <v>154</v>
      </c>
      <c r="B37" s="46" t="s">
        <v>261</v>
      </c>
      <c r="C37" s="45" t="s">
        <v>262</v>
      </c>
    </row>
    <row r="38" customFormat="false" ht="15" hidden="false" customHeight="true" outlineLevel="0" collapsed="false">
      <c r="A38" s="45" t="s">
        <v>157</v>
      </c>
      <c r="B38" s="46" t="s">
        <v>261</v>
      </c>
      <c r="C38" s="45" t="s">
        <v>262</v>
      </c>
    </row>
    <row r="39" customFormat="false" ht="15" hidden="false" customHeight="true" outlineLevel="0" collapsed="false">
      <c r="A39" s="39" t="s">
        <v>160</v>
      </c>
      <c r="B39" s="40" t="s">
        <v>253</v>
      </c>
      <c r="C39" s="39" t="s">
        <v>278</v>
      </c>
    </row>
    <row r="40" customFormat="false" ht="15" hidden="false" customHeight="true" outlineLevel="0" collapsed="false">
      <c r="A40" s="41" t="s">
        <v>163</v>
      </c>
      <c r="B40" s="42" t="s">
        <v>255</v>
      </c>
      <c r="C40" s="41" t="s">
        <v>279</v>
      </c>
    </row>
    <row r="41" customFormat="false" ht="15" hidden="false" customHeight="true" outlineLevel="0" collapsed="false">
      <c r="A41" s="45" t="s">
        <v>166</v>
      </c>
      <c r="B41" s="46" t="s">
        <v>261</v>
      </c>
      <c r="C41" s="45" t="s">
        <v>262</v>
      </c>
    </row>
    <row r="42" customFormat="false" ht="15" hidden="false" customHeight="true" outlineLevel="0" collapsed="false">
      <c r="A42" s="43" t="s">
        <v>169</v>
      </c>
      <c r="B42" s="44" t="s">
        <v>257</v>
      </c>
      <c r="C42" s="43" t="s">
        <v>280</v>
      </c>
    </row>
    <row r="43" customFormat="false" ht="15" hidden="false" customHeight="true" outlineLevel="0" collapsed="false">
      <c r="A43" s="43" t="s">
        <v>172</v>
      </c>
      <c r="B43" s="44" t="s">
        <v>257</v>
      </c>
      <c r="C43" s="43" t="s">
        <v>281</v>
      </c>
    </row>
    <row r="44" customFormat="false" ht="15" hidden="false" customHeight="true" outlineLevel="0" collapsed="false">
      <c r="A44" s="45" t="s">
        <v>175</v>
      </c>
      <c r="B44" s="46" t="s">
        <v>261</v>
      </c>
      <c r="C44" s="45" t="s">
        <v>262</v>
      </c>
    </row>
    <row r="45" customFormat="false" ht="15" hidden="false" customHeight="true" outlineLevel="0" collapsed="false">
      <c r="A45" s="45" t="s">
        <v>178</v>
      </c>
      <c r="B45" s="46" t="s">
        <v>261</v>
      </c>
      <c r="C45" s="45" t="s">
        <v>262</v>
      </c>
    </row>
    <row r="46" customFormat="false" ht="15" hidden="false" customHeight="true" outlineLevel="0" collapsed="false">
      <c r="A46" s="41" t="s">
        <v>181</v>
      </c>
      <c r="B46" s="42" t="s">
        <v>255</v>
      </c>
      <c r="C46" s="41" t="s">
        <v>282</v>
      </c>
    </row>
    <row r="47" customFormat="false" ht="15" hidden="false" customHeight="true" outlineLevel="0" collapsed="false">
      <c r="A47" s="45" t="s">
        <v>184</v>
      </c>
      <c r="B47" s="46" t="s">
        <v>261</v>
      </c>
      <c r="C47" s="45" t="s">
        <v>262</v>
      </c>
    </row>
    <row r="48" customFormat="false" ht="15" hidden="false" customHeight="true" outlineLevel="0" collapsed="false">
      <c r="A48" s="43" t="s">
        <v>187</v>
      </c>
      <c r="B48" s="44" t="s">
        <v>257</v>
      </c>
      <c r="C48" s="43" t="s">
        <v>283</v>
      </c>
    </row>
    <row r="49" customFormat="false" ht="15" hidden="false" customHeight="true" outlineLevel="0" collapsed="false">
      <c r="A49" s="43" t="s">
        <v>190</v>
      </c>
      <c r="B49" s="44" t="s">
        <v>257</v>
      </c>
      <c r="C49" s="43" t="s">
        <v>284</v>
      </c>
    </row>
    <row r="50" customFormat="false" ht="15" hidden="false" customHeight="true" outlineLevel="0" collapsed="false">
      <c r="A50" s="45" t="s">
        <v>193</v>
      </c>
      <c r="B50" s="46" t="s">
        <v>261</v>
      </c>
      <c r="C50" s="45" t="s">
        <v>262</v>
      </c>
    </row>
    <row r="51" customFormat="false" ht="15" hidden="false" customHeight="true" outlineLevel="0" collapsed="false">
      <c r="A51" s="45" t="s">
        <v>196</v>
      </c>
      <c r="B51" s="46" t="s">
        <v>261</v>
      </c>
      <c r="C51" s="45" t="s">
        <v>262</v>
      </c>
    </row>
    <row r="52" customFormat="false" ht="15" hidden="false" customHeight="true" outlineLevel="0" collapsed="false">
      <c r="A52" s="39" t="s">
        <v>199</v>
      </c>
      <c r="B52" s="40" t="s">
        <v>253</v>
      </c>
      <c r="C52" s="47" t="s">
        <v>285</v>
      </c>
    </row>
    <row r="53" customFormat="false" ht="15" hidden="false" customHeight="true" outlineLevel="0" collapsed="false">
      <c r="A53" s="43" t="s">
        <v>202</v>
      </c>
      <c r="B53" s="44" t="s">
        <v>257</v>
      </c>
      <c r="C53" s="43" t="s">
        <v>286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9" min="4" style="1" width="15"/>
  </cols>
  <sheetData>
    <row r="1" customFormat="false" ht="15" hidden="false" customHeight="true" outlineLevel="0" collapsed="false">
      <c r="A1" s="5" t="s">
        <v>16</v>
      </c>
      <c r="B1" s="48" t="n">
        <v>46122</v>
      </c>
      <c r="D1" s="49" t="s">
        <v>287</v>
      </c>
    </row>
    <row r="2" customFormat="false" ht="15" hidden="false" customHeight="true" outlineLevel="0" collapsed="false">
      <c r="A2" s="5" t="s">
        <v>288</v>
      </c>
      <c r="B2" s="48" t="n">
        <v>46203</v>
      </c>
    </row>
    <row r="4" customFormat="false" ht="48" hidden="false" customHeight="true" outlineLevel="0" collapsed="false">
      <c r="A4" s="50" t="s">
        <v>55</v>
      </c>
      <c r="B4" s="50" t="s">
        <v>289</v>
      </c>
      <c r="C4" s="50" t="s">
        <v>290</v>
      </c>
      <c r="D4" s="50" t="s">
        <v>291</v>
      </c>
      <c r="E4" s="50" t="s">
        <v>292</v>
      </c>
      <c r="F4" s="50" t="s">
        <v>293</v>
      </c>
      <c r="G4" s="50" t="s">
        <v>294</v>
      </c>
      <c r="H4" s="50" t="s">
        <v>295</v>
      </c>
      <c r="I4" s="50" t="s">
        <v>296</v>
      </c>
    </row>
    <row r="5" customFormat="false" ht="15" hidden="false" customHeight="true" outlineLevel="0" collapsed="false">
      <c r="A5" s="16" t="s">
        <v>62</v>
      </c>
      <c r="B5" s="51" t="n">
        <f aca="false">COUNTIFS(収集ログ!$B:$B,$A5,収集ログ!$E:$E,"狭義",収集ログ!$K:$K,1)</f>
        <v>0</v>
      </c>
      <c r="C5" s="51" t="n">
        <f aca="false">COUNTIFS(収集ログ!$B:$B,$A5,収集ログ!$K:$K,1)</f>
        <v>0</v>
      </c>
      <c r="D5" s="51" t="n">
        <f aca="false">COUNTIFS(収集ログ!$B:$B,$A5,収集ログ!$H:$H,D$4,収集ログ!$K:$K,1)</f>
        <v>0</v>
      </c>
      <c r="E5" s="51" t="n">
        <f aca="false">COUNTIFS(収集ログ!$B:$B,$A5,収集ログ!$H:$H,E$4,収集ログ!$K:$K,1)</f>
        <v>0</v>
      </c>
      <c r="F5" s="51" t="n">
        <f aca="false">COUNTIFS(収集ログ!$B:$B,$A5,収集ログ!$H:$H,F$4,収集ログ!$K:$K,1)</f>
        <v>0</v>
      </c>
      <c r="G5" s="51" t="n">
        <f aca="false">COUNTIFS(収集ログ!$B:$B,$A5,収集ログ!$H:$H,G$4,収集ログ!$K:$K,1)</f>
        <v>0</v>
      </c>
      <c r="H5" s="51" t="n">
        <f aca="false">COUNTIFS(収集ログ!$B:$B,$A5,収集ログ!$H:$H,H$4,収集ログ!$K:$K,1)</f>
        <v>0</v>
      </c>
      <c r="I5" s="51" t="n">
        <f aca="false">COUNTIFS(収集ログ!$B:$B,$A5,収集ログ!$H:$H,I$4,収集ログ!$K:$K,1)</f>
        <v>0</v>
      </c>
    </row>
    <row r="6" customFormat="false" ht="15" hidden="false" customHeight="true" outlineLevel="0" collapsed="false">
      <c r="A6" s="16" t="s">
        <v>67</v>
      </c>
      <c r="B6" s="51" t="n">
        <f aca="false">COUNTIFS(収集ログ!$B:$B,$A6,収集ログ!$E:$E,"狭義",収集ログ!$K:$K,1)</f>
        <v>0</v>
      </c>
      <c r="C6" s="51" t="n">
        <f aca="false">COUNTIFS(収集ログ!$B:$B,$A6,収集ログ!$K:$K,1)</f>
        <v>0</v>
      </c>
      <c r="D6" s="51" t="n">
        <f aca="false">COUNTIFS(収集ログ!$B:$B,$A6,収集ログ!$H:$H,D$4,収集ログ!$K:$K,1)</f>
        <v>0</v>
      </c>
      <c r="E6" s="51" t="n">
        <f aca="false">COUNTIFS(収集ログ!$B:$B,$A6,収集ログ!$H:$H,E$4,収集ログ!$K:$K,1)</f>
        <v>0</v>
      </c>
      <c r="F6" s="51" t="n">
        <f aca="false">COUNTIFS(収集ログ!$B:$B,$A6,収集ログ!$H:$H,F$4,収集ログ!$K:$K,1)</f>
        <v>0</v>
      </c>
      <c r="G6" s="51" t="n">
        <f aca="false">COUNTIFS(収集ログ!$B:$B,$A6,収集ログ!$H:$H,G$4,収集ログ!$K:$K,1)</f>
        <v>0</v>
      </c>
      <c r="H6" s="51" t="n">
        <f aca="false">COUNTIFS(収集ログ!$B:$B,$A6,収集ログ!$H:$H,H$4,収集ログ!$K:$K,1)</f>
        <v>0</v>
      </c>
      <c r="I6" s="51" t="n">
        <f aca="false">COUNTIFS(収集ログ!$B:$B,$A6,収集ログ!$H:$H,I$4,収集ログ!$K:$K,1)</f>
        <v>0</v>
      </c>
    </row>
    <row r="7" customFormat="false" ht="15" hidden="false" customHeight="true" outlineLevel="0" collapsed="false">
      <c r="A7" s="16" t="s">
        <v>70</v>
      </c>
      <c r="B7" s="51" t="n">
        <f aca="false">COUNTIFS(収集ログ!$B:$B,$A7,収集ログ!$E:$E,"狭義",収集ログ!$K:$K,1)</f>
        <v>0</v>
      </c>
      <c r="C7" s="51" t="n">
        <f aca="false">COUNTIFS(収集ログ!$B:$B,$A7,収集ログ!$K:$K,1)</f>
        <v>0</v>
      </c>
      <c r="D7" s="51" t="n">
        <f aca="false">COUNTIFS(収集ログ!$B:$B,$A7,収集ログ!$H:$H,D$4,収集ログ!$K:$K,1)</f>
        <v>0</v>
      </c>
      <c r="E7" s="51" t="n">
        <f aca="false">COUNTIFS(収集ログ!$B:$B,$A7,収集ログ!$H:$H,E$4,収集ログ!$K:$K,1)</f>
        <v>0</v>
      </c>
      <c r="F7" s="51" t="n">
        <f aca="false">COUNTIFS(収集ログ!$B:$B,$A7,収集ログ!$H:$H,F$4,収集ログ!$K:$K,1)</f>
        <v>0</v>
      </c>
      <c r="G7" s="51" t="n">
        <f aca="false">COUNTIFS(収集ログ!$B:$B,$A7,収集ログ!$H:$H,G$4,収集ログ!$K:$K,1)</f>
        <v>0</v>
      </c>
      <c r="H7" s="51" t="n">
        <f aca="false">COUNTIFS(収集ログ!$B:$B,$A7,収集ログ!$H:$H,H$4,収集ログ!$K:$K,1)</f>
        <v>0</v>
      </c>
      <c r="I7" s="51" t="n">
        <f aca="false">COUNTIFS(収集ログ!$B:$B,$A7,収集ログ!$H:$H,I$4,収集ログ!$K:$K,1)</f>
        <v>0</v>
      </c>
    </row>
    <row r="8" customFormat="false" ht="15" hidden="false" customHeight="true" outlineLevel="0" collapsed="false">
      <c r="A8" s="16" t="s">
        <v>73</v>
      </c>
      <c r="B8" s="51" t="n">
        <f aca="false">COUNTIFS(収集ログ!$B:$B,$A8,収集ログ!$E:$E,"狭義",収集ログ!$K:$K,1)</f>
        <v>1</v>
      </c>
      <c r="C8" s="51" t="n">
        <f aca="false">COUNTIFS(収集ログ!$B:$B,$A8,収集ログ!$K:$K,1)</f>
        <v>1</v>
      </c>
      <c r="D8" s="51" t="n">
        <f aca="false">COUNTIFS(収集ログ!$B:$B,$A8,収集ログ!$H:$H,D$4,収集ログ!$K:$K,1)</f>
        <v>0</v>
      </c>
      <c r="E8" s="51" t="n">
        <f aca="false">COUNTIFS(収集ログ!$B:$B,$A8,収集ログ!$H:$H,E$4,収集ログ!$K:$K,1)</f>
        <v>1</v>
      </c>
      <c r="F8" s="51" t="n">
        <f aca="false">COUNTIFS(収集ログ!$B:$B,$A8,収集ログ!$H:$H,F$4,収集ログ!$K:$K,1)</f>
        <v>0</v>
      </c>
      <c r="G8" s="51" t="n">
        <f aca="false">COUNTIFS(収集ログ!$B:$B,$A8,収集ログ!$H:$H,G$4,収集ログ!$K:$K,1)</f>
        <v>0</v>
      </c>
      <c r="H8" s="51" t="n">
        <f aca="false">COUNTIFS(収集ログ!$B:$B,$A8,収集ログ!$H:$H,H$4,収集ログ!$K:$K,1)</f>
        <v>0</v>
      </c>
      <c r="I8" s="51" t="n">
        <f aca="false">COUNTIFS(収集ログ!$B:$B,$A8,収集ログ!$H:$H,I$4,収集ログ!$K:$K,1)</f>
        <v>0</v>
      </c>
    </row>
    <row r="9" customFormat="false" ht="15" hidden="false" customHeight="true" outlineLevel="0" collapsed="false">
      <c r="A9" s="16" t="s">
        <v>76</v>
      </c>
      <c r="B9" s="51" t="n">
        <f aca="false">COUNTIFS(収集ログ!$B:$B,$A9,収集ログ!$E:$E,"狭義",収集ログ!$K:$K,1)</f>
        <v>0</v>
      </c>
      <c r="C9" s="51" t="n">
        <f aca="false">COUNTIFS(収集ログ!$B:$B,$A9,収集ログ!$K:$K,1)</f>
        <v>0</v>
      </c>
      <c r="D9" s="51" t="n">
        <f aca="false">COUNTIFS(収集ログ!$B:$B,$A9,収集ログ!$H:$H,D$4,収集ログ!$K:$K,1)</f>
        <v>0</v>
      </c>
      <c r="E9" s="51" t="n">
        <f aca="false">COUNTIFS(収集ログ!$B:$B,$A9,収集ログ!$H:$H,E$4,収集ログ!$K:$K,1)</f>
        <v>0</v>
      </c>
      <c r="F9" s="51" t="n">
        <f aca="false">COUNTIFS(収集ログ!$B:$B,$A9,収集ログ!$H:$H,F$4,収集ログ!$K:$K,1)</f>
        <v>0</v>
      </c>
      <c r="G9" s="51" t="n">
        <f aca="false">COUNTIFS(収集ログ!$B:$B,$A9,収集ログ!$H:$H,G$4,収集ログ!$K:$K,1)</f>
        <v>0</v>
      </c>
      <c r="H9" s="51" t="n">
        <f aca="false">COUNTIFS(収集ログ!$B:$B,$A9,収集ログ!$H:$H,H$4,収集ログ!$K:$K,1)</f>
        <v>0</v>
      </c>
      <c r="I9" s="51" t="n">
        <f aca="false">COUNTIFS(収集ログ!$B:$B,$A9,収集ログ!$H:$H,I$4,収集ログ!$K:$K,1)</f>
        <v>0</v>
      </c>
    </row>
    <row r="10" customFormat="false" ht="15" hidden="false" customHeight="true" outlineLevel="0" collapsed="false">
      <c r="A10" s="16" t="s">
        <v>79</v>
      </c>
      <c r="B10" s="51" t="n">
        <f aca="false">COUNTIFS(収集ログ!$B:$B,$A10,収集ログ!$E:$E,"狭義",収集ログ!$K:$K,1)</f>
        <v>0</v>
      </c>
      <c r="C10" s="51" t="n">
        <f aca="false">COUNTIFS(収集ログ!$B:$B,$A10,収集ログ!$K:$K,1)</f>
        <v>0</v>
      </c>
      <c r="D10" s="51" t="n">
        <f aca="false">COUNTIFS(収集ログ!$B:$B,$A10,収集ログ!$H:$H,D$4,収集ログ!$K:$K,1)</f>
        <v>0</v>
      </c>
      <c r="E10" s="51" t="n">
        <f aca="false">COUNTIFS(収集ログ!$B:$B,$A10,収集ログ!$H:$H,E$4,収集ログ!$K:$K,1)</f>
        <v>0</v>
      </c>
      <c r="F10" s="51" t="n">
        <f aca="false">COUNTIFS(収集ログ!$B:$B,$A10,収集ログ!$H:$H,F$4,収集ログ!$K:$K,1)</f>
        <v>0</v>
      </c>
      <c r="G10" s="51" t="n">
        <f aca="false">COUNTIFS(収集ログ!$B:$B,$A10,収集ログ!$H:$H,G$4,収集ログ!$K:$K,1)</f>
        <v>0</v>
      </c>
      <c r="H10" s="51" t="n">
        <f aca="false">COUNTIFS(収集ログ!$B:$B,$A10,収集ログ!$H:$H,H$4,収集ログ!$K:$K,1)</f>
        <v>0</v>
      </c>
      <c r="I10" s="51" t="n">
        <f aca="false">COUNTIFS(収集ログ!$B:$B,$A10,収集ログ!$H:$H,I$4,収集ログ!$K:$K,1)</f>
        <v>0</v>
      </c>
    </row>
    <row r="11" customFormat="false" ht="15" hidden="false" customHeight="true" outlineLevel="0" collapsed="false">
      <c r="A11" s="16" t="s">
        <v>82</v>
      </c>
      <c r="B11" s="51" t="n">
        <f aca="false">COUNTIFS(収集ログ!$B:$B,$A11,収集ログ!$E:$E,"狭義",収集ログ!$K:$K,1)</f>
        <v>0</v>
      </c>
      <c r="C11" s="51" t="n">
        <f aca="false">COUNTIFS(収集ログ!$B:$B,$A11,収集ログ!$K:$K,1)</f>
        <v>0</v>
      </c>
      <c r="D11" s="51" t="n">
        <f aca="false">COUNTIFS(収集ログ!$B:$B,$A11,収集ログ!$H:$H,D$4,収集ログ!$K:$K,1)</f>
        <v>0</v>
      </c>
      <c r="E11" s="51" t="n">
        <f aca="false">COUNTIFS(収集ログ!$B:$B,$A11,収集ログ!$H:$H,E$4,収集ログ!$K:$K,1)</f>
        <v>0</v>
      </c>
      <c r="F11" s="51" t="n">
        <f aca="false">COUNTIFS(収集ログ!$B:$B,$A11,収集ログ!$H:$H,F$4,収集ログ!$K:$K,1)</f>
        <v>0</v>
      </c>
      <c r="G11" s="51" t="n">
        <f aca="false">COUNTIFS(収集ログ!$B:$B,$A11,収集ログ!$H:$H,G$4,収集ログ!$K:$K,1)</f>
        <v>0</v>
      </c>
      <c r="H11" s="51" t="n">
        <f aca="false">COUNTIFS(収集ログ!$B:$B,$A11,収集ログ!$H:$H,H$4,収集ログ!$K:$K,1)</f>
        <v>0</v>
      </c>
      <c r="I11" s="51" t="n">
        <f aca="false">COUNTIFS(収集ログ!$B:$B,$A11,収集ログ!$H:$H,I$4,収集ログ!$K:$K,1)</f>
        <v>0</v>
      </c>
    </row>
    <row r="12" customFormat="false" ht="15" hidden="false" customHeight="true" outlineLevel="0" collapsed="false">
      <c r="A12" s="16" t="s">
        <v>85</v>
      </c>
      <c r="B12" s="51" t="n">
        <f aca="false">COUNTIFS(収集ログ!$B:$B,$A12,収集ログ!$E:$E,"狭義",収集ログ!$K:$K,1)</f>
        <v>0</v>
      </c>
      <c r="C12" s="51" t="n">
        <f aca="false">COUNTIFS(収集ログ!$B:$B,$A12,収集ログ!$K:$K,1)</f>
        <v>0</v>
      </c>
      <c r="D12" s="51" t="n">
        <f aca="false">COUNTIFS(収集ログ!$B:$B,$A12,収集ログ!$H:$H,D$4,収集ログ!$K:$K,1)</f>
        <v>0</v>
      </c>
      <c r="E12" s="51" t="n">
        <f aca="false">COUNTIFS(収集ログ!$B:$B,$A12,収集ログ!$H:$H,E$4,収集ログ!$K:$K,1)</f>
        <v>0</v>
      </c>
      <c r="F12" s="51" t="n">
        <f aca="false">COUNTIFS(収集ログ!$B:$B,$A12,収集ログ!$H:$H,F$4,収集ログ!$K:$K,1)</f>
        <v>0</v>
      </c>
      <c r="G12" s="51" t="n">
        <f aca="false">COUNTIFS(収集ログ!$B:$B,$A12,収集ログ!$H:$H,G$4,収集ログ!$K:$K,1)</f>
        <v>0</v>
      </c>
      <c r="H12" s="51" t="n">
        <f aca="false">COUNTIFS(収集ログ!$B:$B,$A12,収集ログ!$H:$H,H$4,収集ログ!$K:$K,1)</f>
        <v>0</v>
      </c>
      <c r="I12" s="51" t="n">
        <f aca="false">COUNTIFS(収集ログ!$B:$B,$A12,収集ログ!$H:$H,I$4,収集ログ!$K:$K,1)</f>
        <v>0</v>
      </c>
    </row>
    <row r="13" customFormat="false" ht="15" hidden="false" customHeight="true" outlineLevel="0" collapsed="false">
      <c r="A13" s="16" t="s">
        <v>88</v>
      </c>
      <c r="B13" s="51" t="n">
        <f aca="false">COUNTIFS(収集ログ!$B:$B,$A13,収集ログ!$E:$E,"狭義",収集ログ!$K:$K,1)</f>
        <v>0</v>
      </c>
      <c r="C13" s="51" t="n">
        <f aca="false">COUNTIFS(収集ログ!$B:$B,$A13,収集ログ!$K:$K,1)</f>
        <v>0</v>
      </c>
      <c r="D13" s="51" t="n">
        <f aca="false">COUNTIFS(収集ログ!$B:$B,$A13,収集ログ!$H:$H,D$4,収集ログ!$K:$K,1)</f>
        <v>0</v>
      </c>
      <c r="E13" s="51" t="n">
        <f aca="false">COUNTIFS(収集ログ!$B:$B,$A13,収集ログ!$H:$H,E$4,収集ログ!$K:$K,1)</f>
        <v>0</v>
      </c>
      <c r="F13" s="51" t="n">
        <f aca="false">COUNTIFS(収集ログ!$B:$B,$A13,収集ログ!$H:$H,F$4,収集ログ!$K:$K,1)</f>
        <v>0</v>
      </c>
      <c r="G13" s="51" t="n">
        <f aca="false">COUNTIFS(収集ログ!$B:$B,$A13,収集ログ!$H:$H,G$4,収集ログ!$K:$K,1)</f>
        <v>0</v>
      </c>
      <c r="H13" s="51" t="n">
        <f aca="false">COUNTIFS(収集ログ!$B:$B,$A13,収集ログ!$H:$H,H$4,収集ログ!$K:$K,1)</f>
        <v>0</v>
      </c>
      <c r="I13" s="51" t="n">
        <f aca="false">COUNTIFS(収集ログ!$B:$B,$A13,収集ログ!$H:$H,I$4,収集ログ!$K:$K,1)</f>
        <v>0</v>
      </c>
    </row>
    <row r="14" customFormat="false" ht="15" hidden="false" customHeight="true" outlineLevel="0" collapsed="false">
      <c r="A14" s="16" t="s">
        <v>91</v>
      </c>
      <c r="B14" s="51" t="n">
        <f aca="false">COUNTIFS(収集ログ!$B:$B,$A14,収集ログ!$E:$E,"狭義",収集ログ!$K:$K,1)</f>
        <v>0</v>
      </c>
      <c r="C14" s="51" t="n">
        <f aca="false">COUNTIFS(収集ログ!$B:$B,$A14,収集ログ!$K:$K,1)</f>
        <v>0</v>
      </c>
      <c r="D14" s="51" t="n">
        <f aca="false">COUNTIFS(収集ログ!$B:$B,$A14,収集ログ!$H:$H,D$4,収集ログ!$K:$K,1)</f>
        <v>0</v>
      </c>
      <c r="E14" s="51" t="n">
        <f aca="false">COUNTIFS(収集ログ!$B:$B,$A14,収集ログ!$H:$H,E$4,収集ログ!$K:$K,1)</f>
        <v>0</v>
      </c>
      <c r="F14" s="51" t="n">
        <f aca="false">COUNTIFS(収集ログ!$B:$B,$A14,収集ログ!$H:$H,F$4,収集ログ!$K:$K,1)</f>
        <v>0</v>
      </c>
      <c r="G14" s="51" t="n">
        <f aca="false">COUNTIFS(収集ログ!$B:$B,$A14,収集ログ!$H:$H,G$4,収集ログ!$K:$K,1)</f>
        <v>0</v>
      </c>
      <c r="H14" s="51" t="n">
        <f aca="false">COUNTIFS(収集ログ!$B:$B,$A14,収集ログ!$H:$H,H$4,収集ログ!$K:$K,1)</f>
        <v>0</v>
      </c>
      <c r="I14" s="51" t="n">
        <f aca="false">COUNTIFS(収集ログ!$B:$B,$A14,収集ログ!$H:$H,I$4,収集ログ!$K:$K,1)</f>
        <v>0</v>
      </c>
    </row>
    <row r="15" customFormat="false" ht="15" hidden="false" customHeight="true" outlineLevel="0" collapsed="false">
      <c r="A15" s="16" t="s">
        <v>94</v>
      </c>
      <c r="B15" s="51" t="n">
        <f aca="false">COUNTIFS(収集ログ!$B:$B,$A15,収集ログ!$E:$E,"狭義",収集ログ!$K:$K,1)</f>
        <v>0</v>
      </c>
      <c r="C15" s="51" t="n">
        <f aca="false">COUNTIFS(収集ログ!$B:$B,$A15,収集ログ!$K:$K,1)</f>
        <v>1</v>
      </c>
      <c r="D15" s="51" t="n">
        <f aca="false">COUNTIFS(収集ログ!$B:$B,$A15,収集ログ!$H:$H,D$4,収集ログ!$K:$K,1)</f>
        <v>0</v>
      </c>
      <c r="E15" s="51" t="n">
        <f aca="false">COUNTIFS(収集ログ!$B:$B,$A15,収集ログ!$H:$H,E$4,収集ログ!$K:$K,1)</f>
        <v>0</v>
      </c>
      <c r="F15" s="51" t="n">
        <f aca="false">COUNTIFS(収集ログ!$B:$B,$A15,収集ログ!$H:$H,F$4,収集ログ!$K:$K,1)</f>
        <v>1</v>
      </c>
      <c r="G15" s="51" t="n">
        <f aca="false">COUNTIFS(収集ログ!$B:$B,$A15,収集ログ!$H:$H,G$4,収集ログ!$K:$K,1)</f>
        <v>0</v>
      </c>
      <c r="H15" s="51" t="n">
        <f aca="false">COUNTIFS(収集ログ!$B:$B,$A15,収集ログ!$H:$H,H$4,収集ログ!$K:$K,1)</f>
        <v>0</v>
      </c>
      <c r="I15" s="51" t="n">
        <f aca="false">COUNTIFS(収集ログ!$B:$B,$A15,収集ログ!$H:$H,I$4,収集ログ!$K:$K,1)</f>
        <v>0</v>
      </c>
    </row>
    <row r="16" customFormat="false" ht="15" hidden="false" customHeight="true" outlineLevel="0" collapsed="false">
      <c r="A16" s="16" t="s">
        <v>97</v>
      </c>
      <c r="B16" s="51" t="n">
        <f aca="false">COUNTIFS(収集ログ!$B:$B,$A16,収集ログ!$E:$E,"狭義",収集ログ!$K:$K,1)</f>
        <v>0</v>
      </c>
      <c r="C16" s="51" t="n">
        <f aca="false">COUNTIFS(収集ログ!$B:$B,$A16,収集ログ!$K:$K,1)</f>
        <v>0</v>
      </c>
      <c r="D16" s="51" t="n">
        <f aca="false">COUNTIFS(収集ログ!$B:$B,$A16,収集ログ!$H:$H,D$4,収集ログ!$K:$K,1)</f>
        <v>0</v>
      </c>
      <c r="E16" s="51" t="n">
        <f aca="false">COUNTIFS(収集ログ!$B:$B,$A16,収集ログ!$H:$H,E$4,収集ログ!$K:$K,1)</f>
        <v>0</v>
      </c>
      <c r="F16" s="51" t="n">
        <f aca="false">COUNTIFS(収集ログ!$B:$B,$A16,収集ログ!$H:$H,F$4,収集ログ!$K:$K,1)</f>
        <v>0</v>
      </c>
      <c r="G16" s="51" t="n">
        <f aca="false">COUNTIFS(収集ログ!$B:$B,$A16,収集ログ!$H:$H,G$4,収集ログ!$K:$K,1)</f>
        <v>0</v>
      </c>
      <c r="H16" s="51" t="n">
        <f aca="false">COUNTIFS(収集ログ!$B:$B,$A16,収集ログ!$H:$H,H$4,収集ログ!$K:$K,1)</f>
        <v>0</v>
      </c>
      <c r="I16" s="51" t="n">
        <f aca="false">COUNTIFS(収集ログ!$B:$B,$A16,収集ログ!$H:$H,I$4,収集ログ!$K:$K,1)</f>
        <v>0</v>
      </c>
    </row>
    <row r="17" customFormat="false" ht="15" hidden="false" customHeight="true" outlineLevel="0" collapsed="false">
      <c r="A17" s="16" t="s">
        <v>100</v>
      </c>
      <c r="B17" s="51" t="n">
        <f aca="false">COUNTIFS(収集ログ!$B:$B,$A17,収集ログ!$E:$E,"狭義",収集ログ!$K:$K,1)</f>
        <v>3</v>
      </c>
      <c r="C17" s="51" t="n">
        <f aca="false">COUNTIFS(収集ログ!$B:$B,$A17,収集ログ!$K:$K,1)</f>
        <v>3</v>
      </c>
      <c r="D17" s="51" t="n">
        <f aca="false">COUNTIFS(収集ログ!$B:$B,$A17,収集ログ!$H:$H,D$4,収集ログ!$K:$K,1)</f>
        <v>1</v>
      </c>
      <c r="E17" s="51" t="n">
        <f aca="false">COUNTIFS(収集ログ!$B:$B,$A17,収集ログ!$H:$H,E$4,収集ログ!$K:$K,1)</f>
        <v>0</v>
      </c>
      <c r="F17" s="51" t="n">
        <f aca="false">COUNTIFS(収集ログ!$B:$B,$A17,収集ログ!$H:$H,F$4,収集ログ!$K:$K,1)</f>
        <v>0</v>
      </c>
      <c r="G17" s="51" t="n">
        <f aca="false">COUNTIFS(収集ログ!$B:$B,$A17,収集ログ!$H:$H,G$4,収集ログ!$K:$K,1)</f>
        <v>0</v>
      </c>
      <c r="H17" s="51" t="n">
        <f aca="false">COUNTIFS(収集ログ!$B:$B,$A17,収集ログ!$H:$H,H$4,収集ログ!$K:$K,1)</f>
        <v>0</v>
      </c>
      <c r="I17" s="51" t="n">
        <f aca="false">COUNTIFS(収集ログ!$B:$B,$A17,収集ログ!$H:$H,I$4,収集ログ!$K:$K,1)</f>
        <v>1</v>
      </c>
    </row>
    <row r="18" customFormat="false" ht="15" hidden="false" customHeight="true" outlineLevel="0" collapsed="false">
      <c r="A18" s="16" t="s">
        <v>103</v>
      </c>
      <c r="B18" s="51" t="n">
        <f aca="false">COUNTIFS(収集ログ!$B:$B,$A18,収集ログ!$E:$E,"狭義",収集ログ!$K:$K,1)</f>
        <v>0</v>
      </c>
      <c r="C18" s="51" t="n">
        <f aca="false">COUNTIFS(収集ログ!$B:$B,$A18,収集ログ!$K:$K,1)</f>
        <v>0</v>
      </c>
      <c r="D18" s="51" t="n">
        <f aca="false">COUNTIFS(収集ログ!$B:$B,$A18,収集ログ!$H:$H,D$4,収集ログ!$K:$K,1)</f>
        <v>0</v>
      </c>
      <c r="E18" s="51" t="n">
        <f aca="false">COUNTIFS(収集ログ!$B:$B,$A18,収集ログ!$H:$H,E$4,収集ログ!$K:$K,1)</f>
        <v>0</v>
      </c>
      <c r="F18" s="51" t="n">
        <f aca="false">COUNTIFS(収集ログ!$B:$B,$A18,収集ログ!$H:$H,F$4,収集ログ!$K:$K,1)</f>
        <v>0</v>
      </c>
      <c r="G18" s="51" t="n">
        <f aca="false">COUNTIFS(収集ログ!$B:$B,$A18,収集ログ!$H:$H,G$4,収集ログ!$K:$K,1)</f>
        <v>0</v>
      </c>
      <c r="H18" s="51" t="n">
        <f aca="false">COUNTIFS(収集ログ!$B:$B,$A18,収集ログ!$H:$H,H$4,収集ログ!$K:$K,1)</f>
        <v>0</v>
      </c>
      <c r="I18" s="51" t="n">
        <f aca="false">COUNTIFS(収集ログ!$B:$B,$A18,収集ログ!$H:$H,I$4,収集ログ!$K:$K,1)</f>
        <v>0</v>
      </c>
    </row>
    <row r="19" customFormat="false" ht="15" hidden="false" customHeight="true" outlineLevel="0" collapsed="false">
      <c r="A19" s="16" t="s">
        <v>106</v>
      </c>
      <c r="B19" s="51" t="n">
        <f aca="false">COUNTIFS(収集ログ!$B:$B,$A19,収集ログ!$E:$E,"狭義",収集ログ!$K:$K,1)</f>
        <v>0</v>
      </c>
      <c r="C19" s="51" t="n">
        <f aca="false">COUNTIFS(収集ログ!$B:$B,$A19,収集ログ!$K:$K,1)</f>
        <v>0</v>
      </c>
      <c r="D19" s="51" t="n">
        <f aca="false">COUNTIFS(収集ログ!$B:$B,$A19,収集ログ!$H:$H,D$4,収集ログ!$K:$K,1)</f>
        <v>0</v>
      </c>
      <c r="E19" s="51" t="n">
        <f aca="false">COUNTIFS(収集ログ!$B:$B,$A19,収集ログ!$H:$H,E$4,収集ログ!$K:$K,1)</f>
        <v>0</v>
      </c>
      <c r="F19" s="51" t="n">
        <f aca="false">COUNTIFS(収集ログ!$B:$B,$A19,収集ログ!$H:$H,F$4,収集ログ!$K:$K,1)</f>
        <v>0</v>
      </c>
      <c r="G19" s="51" t="n">
        <f aca="false">COUNTIFS(収集ログ!$B:$B,$A19,収集ログ!$H:$H,G$4,収集ログ!$K:$K,1)</f>
        <v>0</v>
      </c>
      <c r="H19" s="51" t="n">
        <f aca="false">COUNTIFS(収集ログ!$B:$B,$A19,収集ログ!$H:$H,H$4,収集ログ!$K:$K,1)</f>
        <v>0</v>
      </c>
      <c r="I19" s="51" t="n">
        <f aca="false">COUNTIFS(収集ログ!$B:$B,$A19,収集ログ!$H:$H,I$4,収集ログ!$K:$K,1)</f>
        <v>0</v>
      </c>
    </row>
    <row r="20" customFormat="false" ht="15" hidden="false" customHeight="true" outlineLevel="0" collapsed="false">
      <c r="A20" s="16" t="s">
        <v>109</v>
      </c>
      <c r="B20" s="51" t="n">
        <f aca="false">COUNTIFS(収集ログ!$B:$B,$A20,収集ログ!$E:$E,"狭義",収集ログ!$K:$K,1)</f>
        <v>0</v>
      </c>
      <c r="C20" s="51" t="n">
        <f aca="false">COUNTIFS(収集ログ!$B:$B,$A20,収集ログ!$K:$K,1)</f>
        <v>0</v>
      </c>
      <c r="D20" s="51" t="n">
        <f aca="false">COUNTIFS(収集ログ!$B:$B,$A20,収集ログ!$H:$H,D$4,収集ログ!$K:$K,1)</f>
        <v>0</v>
      </c>
      <c r="E20" s="51" t="n">
        <f aca="false">COUNTIFS(収集ログ!$B:$B,$A20,収集ログ!$H:$H,E$4,収集ログ!$K:$K,1)</f>
        <v>0</v>
      </c>
      <c r="F20" s="51" t="n">
        <f aca="false">COUNTIFS(収集ログ!$B:$B,$A20,収集ログ!$H:$H,F$4,収集ログ!$K:$K,1)</f>
        <v>0</v>
      </c>
      <c r="G20" s="51" t="n">
        <f aca="false">COUNTIFS(収集ログ!$B:$B,$A20,収集ログ!$H:$H,G$4,収集ログ!$K:$K,1)</f>
        <v>0</v>
      </c>
      <c r="H20" s="51" t="n">
        <f aca="false">COUNTIFS(収集ログ!$B:$B,$A20,収集ログ!$H:$H,H$4,収集ログ!$K:$K,1)</f>
        <v>0</v>
      </c>
      <c r="I20" s="51" t="n">
        <f aca="false">COUNTIFS(収集ログ!$B:$B,$A20,収集ログ!$H:$H,I$4,収集ログ!$K:$K,1)</f>
        <v>0</v>
      </c>
    </row>
    <row r="21" customFormat="false" ht="15" hidden="false" customHeight="true" outlineLevel="0" collapsed="false">
      <c r="A21" s="16" t="s">
        <v>112</v>
      </c>
      <c r="B21" s="51" t="n">
        <f aca="false">COUNTIFS(収集ログ!$B:$B,$A21,収集ログ!$E:$E,"狭義",収集ログ!$K:$K,1)</f>
        <v>0</v>
      </c>
      <c r="C21" s="51" t="n">
        <f aca="false">COUNTIFS(収集ログ!$B:$B,$A21,収集ログ!$K:$K,1)</f>
        <v>0</v>
      </c>
      <c r="D21" s="51" t="n">
        <f aca="false">COUNTIFS(収集ログ!$B:$B,$A21,収集ログ!$H:$H,D$4,収集ログ!$K:$K,1)</f>
        <v>0</v>
      </c>
      <c r="E21" s="51" t="n">
        <f aca="false">COUNTIFS(収集ログ!$B:$B,$A21,収集ログ!$H:$H,E$4,収集ログ!$K:$K,1)</f>
        <v>0</v>
      </c>
      <c r="F21" s="51" t="n">
        <f aca="false">COUNTIFS(収集ログ!$B:$B,$A21,収集ログ!$H:$H,F$4,収集ログ!$K:$K,1)</f>
        <v>0</v>
      </c>
      <c r="G21" s="51" t="n">
        <f aca="false">COUNTIFS(収集ログ!$B:$B,$A21,収集ログ!$H:$H,G$4,収集ログ!$K:$K,1)</f>
        <v>0</v>
      </c>
      <c r="H21" s="51" t="n">
        <f aca="false">COUNTIFS(収集ログ!$B:$B,$A21,収集ログ!$H:$H,H$4,収集ログ!$K:$K,1)</f>
        <v>0</v>
      </c>
      <c r="I21" s="51" t="n">
        <f aca="false">COUNTIFS(収集ログ!$B:$B,$A21,収集ログ!$H:$H,I$4,収集ログ!$K:$K,1)</f>
        <v>0</v>
      </c>
    </row>
    <row r="22" customFormat="false" ht="15" hidden="false" customHeight="true" outlineLevel="0" collapsed="false">
      <c r="A22" s="16" t="s">
        <v>115</v>
      </c>
      <c r="B22" s="51" t="n">
        <f aca="false">COUNTIFS(収集ログ!$B:$B,$A22,収集ログ!$E:$E,"狭義",収集ログ!$K:$K,1)</f>
        <v>0</v>
      </c>
      <c r="C22" s="51" t="n">
        <f aca="false">COUNTIFS(収集ログ!$B:$B,$A22,収集ログ!$K:$K,1)</f>
        <v>0</v>
      </c>
      <c r="D22" s="51" t="n">
        <f aca="false">COUNTIFS(収集ログ!$B:$B,$A22,収集ログ!$H:$H,D$4,収集ログ!$K:$K,1)</f>
        <v>0</v>
      </c>
      <c r="E22" s="51" t="n">
        <f aca="false">COUNTIFS(収集ログ!$B:$B,$A22,収集ログ!$H:$H,E$4,収集ログ!$K:$K,1)</f>
        <v>0</v>
      </c>
      <c r="F22" s="51" t="n">
        <f aca="false">COUNTIFS(収集ログ!$B:$B,$A22,収集ログ!$H:$H,F$4,収集ログ!$K:$K,1)</f>
        <v>0</v>
      </c>
      <c r="G22" s="51" t="n">
        <f aca="false">COUNTIFS(収集ログ!$B:$B,$A22,収集ログ!$H:$H,G$4,収集ログ!$K:$K,1)</f>
        <v>0</v>
      </c>
      <c r="H22" s="51" t="n">
        <f aca="false">COUNTIFS(収集ログ!$B:$B,$A22,収集ログ!$H:$H,H$4,収集ログ!$K:$K,1)</f>
        <v>0</v>
      </c>
      <c r="I22" s="51" t="n">
        <f aca="false">COUNTIFS(収集ログ!$B:$B,$A22,収集ログ!$H:$H,I$4,収集ログ!$K:$K,1)</f>
        <v>0</v>
      </c>
    </row>
    <row r="23" customFormat="false" ht="15" hidden="false" customHeight="true" outlineLevel="0" collapsed="false">
      <c r="A23" s="16" t="s">
        <v>118</v>
      </c>
      <c r="B23" s="51" t="n">
        <f aca="false">COUNTIFS(収集ログ!$B:$B,$A23,収集ログ!$E:$E,"狭義",収集ログ!$K:$K,1)</f>
        <v>0</v>
      </c>
      <c r="C23" s="51" t="n">
        <f aca="false">COUNTIFS(収集ログ!$B:$B,$A23,収集ログ!$K:$K,1)</f>
        <v>0</v>
      </c>
      <c r="D23" s="51" t="n">
        <f aca="false">COUNTIFS(収集ログ!$B:$B,$A23,収集ログ!$H:$H,D$4,収集ログ!$K:$K,1)</f>
        <v>0</v>
      </c>
      <c r="E23" s="51" t="n">
        <f aca="false">COUNTIFS(収集ログ!$B:$B,$A23,収集ログ!$H:$H,E$4,収集ログ!$K:$K,1)</f>
        <v>0</v>
      </c>
      <c r="F23" s="51" t="n">
        <f aca="false">COUNTIFS(収集ログ!$B:$B,$A23,収集ログ!$H:$H,F$4,収集ログ!$K:$K,1)</f>
        <v>0</v>
      </c>
      <c r="G23" s="51" t="n">
        <f aca="false">COUNTIFS(収集ログ!$B:$B,$A23,収集ログ!$H:$H,G$4,収集ログ!$K:$K,1)</f>
        <v>0</v>
      </c>
      <c r="H23" s="51" t="n">
        <f aca="false">COUNTIFS(収集ログ!$B:$B,$A23,収集ログ!$H:$H,H$4,収集ログ!$K:$K,1)</f>
        <v>0</v>
      </c>
      <c r="I23" s="51" t="n">
        <f aca="false">COUNTIFS(収集ログ!$B:$B,$A23,収集ログ!$H:$H,I$4,収集ログ!$K:$K,1)</f>
        <v>0</v>
      </c>
    </row>
    <row r="24" customFormat="false" ht="15" hidden="false" customHeight="true" outlineLevel="0" collapsed="false">
      <c r="A24" s="16" t="s">
        <v>121</v>
      </c>
      <c r="B24" s="51" t="n">
        <f aca="false">COUNTIFS(収集ログ!$B:$B,$A24,収集ログ!$E:$E,"狭義",収集ログ!$K:$K,1)</f>
        <v>0</v>
      </c>
      <c r="C24" s="51" t="n">
        <f aca="false">COUNTIFS(収集ログ!$B:$B,$A24,収集ログ!$K:$K,1)</f>
        <v>0</v>
      </c>
      <c r="D24" s="51" t="n">
        <f aca="false">COUNTIFS(収集ログ!$B:$B,$A24,収集ログ!$H:$H,D$4,収集ログ!$K:$K,1)</f>
        <v>0</v>
      </c>
      <c r="E24" s="51" t="n">
        <f aca="false">COUNTIFS(収集ログ!$B:$B,$A24,収集ログ!$H:$H,E$4,収集ログ!$K:$K,1)</f>
        <v>0</v>
      </c>
      <c r="F24" s="51" t="n">
        <f aca="false">COUNTIFS(収集ログ!$B:$B,$A24,収集ログ!$H:$H,F$4,収集ログ!$K:$K,1)</f>
        <v>0</v>
      </c>
      <c r="G24" s="51" t="n">
        <f aca="false">COUNTIFS(収集ログ!$B:$B,$A24,収集ログ!$H:$H,G$4,収集ログ!$K:$K,1)</f>
        <v>0</v>
      </c>
      <c r="H24" s="51" t="n">
        <f aca="false">COUNTIFS(収集ログ!$B:$B,$A24,収集ログ!$H:$H,H$4,収集ログ!$K:$K,1)</f>
        <v>0</v>
      </c>
      <c r="I24" s="51" t="n">
        <f aca="false">COUNTIFS(収集ログ!$B:$B,$A24,収集ログ!$H:$H,I$4,収集ログ!$K:$K,1)</f>
        <v>0</v>
      </c>
    </row>
    <row r="25" customFormat="false" ht="15" hidden="false" customHeight="true" outlineLevel="0" collapsed="false">
      <c r="A25" s="16" t="s">
        <v>124</v>
      </c>
      <c r="B25" s="51" t="n">
        <f aca="false">COUNTIFS(収集ログ!$B:$B,$A25,収集ログ!$E:$E,"狭義",収集ログ!$K:$K,1)</f>
        <v>0</v>
      </c>
      <c r="C25" s="51" t="n">
        <f aca="false">COUNTIFS(収集ログ!$B:$B,$A25,収集ログ!$K:$K,1)</f>
        <v>0</v>
      </c>
      <c r="D25" s="51" t="n">
        <f aca="false">COUNTIFS(収集ログ!$B:$B,$A25,収集ログ!$H:$H,D$4,収集ログ!$K:$K,1)</f>
        <v>0</v>
      </c>
      <c r="E25" s="51" t="n">
        <f aca="false">COUNTIFS(収集ログ!$B:$B,$A25,収集ログ!$H:$H,E$4,収集ログ!$K:$K,1)</f>
        <v>0</v>
      </c>
      <c r="F25" s="51" t="n">
        <f aca="false">COUNTIFS(収集ログ!$B:$B,$A25,収集ログ!$H:$H,F$4,収集ログ!$K:$K,1)</f>
        <v>0</v>
      </c>
      <c r="G25" s="51" t="n">
        <f aca="false">COUNTIFS(収集ログ!$B:$B,$A25,収集ログ!$H:$H,G$4,収集ログ!$K:$K,1)</f>
        <v>0</v>
      </c>
      <c r="H25" s="51" t="n">
        <f aca="false">COUNTIFS(収集ログ!$B:$B,$A25,収集ログ!$H:$H,H$4,収集ログ!$K:$K,1)</f>
        <v>0</v>
      </c>
      <c r="I25" s="51" t="n">
        <f aca="false">COUNTIFS(収集ログ!$B:$B,$A25,収集ログ!$H:$H,I$4,収集ログ!$K:$K,1)</f>
        <v>0</v>
      </c>
    </row>
    <row r="26" customFormat="false" ht="15" hidden="false" customHeight="true" outlineLevel="0" collapsed="false">
      <c r="A26" s="16" t="s">
        <v>127</v>
      </c>
      <c r="B26" s="51" t="n">
        <f aca="false">COUNTIFS(収集ログ!$B:$B,$A26,収集ログ!$E:$E,"狭義",収集ログ!$K:$K,1)</f>
        <v>0</v>
      </c>
      <c r="C26" s="51" t="n">
        <f aca="false">COUNTIFS(収集ログ!$B:$B,$A26,収集ログ!$K:$K,1)</f>
        <v>0</v>
      </c>
      <c r="D26" s="51" t="n">
        <f aca="false">COUNTIFS(収集ログ!$B:$B,$A26,収集ログ!$H:$H,D$4,収集ログ!$K:$K,1)</f>
        <v>0</v>
      </c>
      <c r="E26" s="51" t="n">
        <f aca="false">COUNTIFS(収集ログ!$B:$B,$A26,収集ログ!$H:$H,E$4,収集ログ!$K:$K,1)</f>
        <v>0</v>
      </c>
      <c r="F26" s="51" t="n">
        <f aca="false">COUNTIFS(収集ログ!$B:$B,$A26,収集ログ!$H:$H,F$4,収集ログ!$K:$K,1)</f>
        <v>0</v>
      </c>
      <c r="G26" s="51" t="n">
        <f aca="false">COUNTIFS(収集ログ!$B:$B,$A26,収集ログ!$H:$H,G$4,収集ログ!$K:$K,1)</f>
        <v>0</v>
      </c>
      <c r="H26" s="51" t="n">
        <f aca="false">COUNTIFS(収集ログ!$B:$B,$A26,収集ログ!$H:$H,H$4,収集ログ!$K:$K,1)</f>
        <v>0</v>
      </c>
      <c r="I26" s="51" t="n">
        <f aca="false">COUNTIFS(収集ログ!$B:$B,$A26,収集ログ!$H:$H,I$4,収集ログ!$K:$K,1)</f>
        <v>0</v>
      </c>
    </row>
    <row r="27" customFormat="false" ht="15" hidden="false" customHeight="true" outlineLevel="0" collapsed="false">
      <c r="A27" s="16" t="s">
        <v>130</v>
      </c>
      <c r="B27" s="51" t="n">
        <f aca="false">COUNTIFS(収集ログ!$B:$B,$A27,収集ログ!$E:$E,"狭義",収集ログ!$K:$K,1)</f>
        <v>0</v>
      </c>
      <c r="C27" s="51" t="n">
        <f aca="false">COUNTIFS(収集ログ!$B:$B,$A27,収集ログ!$K:$K,1)</f>
        <v>0</v>
      </c>
      <c r="D27" s="51" t="n">
        <f aca="false">COUNTIFS(収集ログ!$B:$B,$A27,収集ログ!$H:$H,D$4,収集ログ!$K:$K,1)</f>
        <v>0</v>
      </c>
      <c r="E27" s="51" t="n">
        <f aca="false">COUNTIFS(収集ログ!$B:$B,$A27,収集ログ!$H:$H,E$4,収集ログ!$K:$K,1)</f>
        <v>0</v>
      </c>
      <c r="F27" s="51" t="n">
        <f aca="false">COUNTIFS(収集ログ!$B:$B,$A27,収集ログ!$H:$H,F$4,収集ログ!$K:$K,1)</f>
        <v>0</v>
      </c>
      <c r="G27" s="51" t="n">
        <f aca="false">COUNTIFS(収集ログ!$B:$B,$A27,収集ログ!$H:$H,G$4,収集ログ!$K:$K,1)</f>
        <v>0</v>
      </c>
      <c r="H27" s="51" t="n">
        <f aca="false">COUNTIFS(収集ログ!$B:$B,$A27,収集ログ!$H:$H,H$4,収集ログ!$K:$K,1)</f>
        <v>0</v>
      </c>
      <c r="I27" s="51" t="n">
        <f aca="false">COUNTIFS(収集ログ!$B:$B,$A27,収集ログ!$H:$H,I$4,収集ログ!$K:$K,1)</f>
        <v>0</v>
      </c>
    </row>
    <row r="28" customFormat="false" ht="15" hidden="false" customHeight="true" outlineLevel="0" collapsed="false">
      <c r="A28" s="16" t="s">
        <v>133</v>
      </c>
      <c r="B28" s="51" t="n">
        <f aca="false">COUNTIFS(収集ログ!$B:$B,$A28,収集ログ!$E:$E,"狭義",収集ログ!$K:$K,1)</f>
        <v>0</v>
      </c>
      <c r="C28" s="51" t="n">
        <f aca="false">COUNTIFS(収集ログ!$B:$B,$A28,収集ログ!$K:$K,1)</f>
        <v>0</v>
      </c>
      <c r="D28" s="51" t="n">
        <f aca="false">COUNTIFS(収集ログ!$B:$B,$A28,収集ログ!$H:$H,D$4,収集ログ!$K:$K,1)</f>
        <v>0</v>
      </c>
      <c r="E28" s="51" t="n">
        <f aca="false">COUNTIFS(収集ログ!$B:$B,$A28,収集ログ!$H:$H,E$4,収集ログ!$K:$K,1)</f>
        <v>0</v>
      </c>
      <c r="F28" s="51" t="n">
        <f aca="false">COUNTIFS(収集ログ!$B:$B,$A28,収集ログ!$H:$H,F$4,収集ログ!$K:$K,1)</f>
        <v>0</v>
      </c>
      <c r="G28" s="51" t="n">
        <f aca="false">COUNTIFS(収集ログ!$B:$B,$A28,収集ログ!$H:$H,G$4,収集ログ!$K:$K,1)</f>
        <v>0</v>
      </c>
      <c r="H28" s="51" t="n">
        <f aca="false">COUNTIFS(収集ログ!$B:$B,$A28,収集ログ!$H:$H,H$4,収集ログ!$K:$K,1)</f>
        <v>0</v>
      </c>
      <c r="I28" s="51" t="n">
        <f aca="false">COUNTIFS(収集ログ!$B:$B,$A28,収集ログ!$H:$H,I$4,収集ログ!$K:$K,1)</f>
        <v>0</v>
      </c>
    </row>
    <row r="29" customFormat="false" ht="15" hidden="false" customHeight="true" outlineLevel="0" collapsed="false">
      <c r="A29" s="16" t="s">
        <v>136</v>
      </c>
      <c r="B29" s="51" t="n">
        <f aca="false">COUNTIFS(収集ログ!$B:$B,$A29,収集ログ!$E:$E,"狭義",収集ログ!$K:$K,1)</f>
        <v>0</v>
      </c>
      <c r="C29" s="51" t="n">
        <f aca="false">COUNTIFS(収集ログ!$B:$B,$A29,収集ログ!$K:$K,1)</f>
        <v>1</v>
      </c>
      <c r="D29" s="51" t="n">
        <f aca="false">COUNTIFS(収集ログ!$B:$B,$A29,収集ログ!$H:$H,D$4,収集ログ!$K:$K,1)</f>
        <v>0</v>
      </c>
      <c r="E29" s="51" t="n">
        <f aca="false">COUNTIFS(収集ログ!$B:$B,$A29,収集ログ!$H:$H,E$4,収集ログ!$K:$K,1)</f>
        <v>0</v>
      </c>
      <c r="F29" s="51" t="n">
        <f aca="false">COUNTIFS(収集ログ!$B:$B,$A29,収集ログ!$H:$H,F$4,収集ログ!$K:$K,1)</f>
        <v>1</v>
      </c>
      <c r="G29" s="51" t="n">
        <f aca="false">COUNTIFS(収集ログ!$B:$B,$A29,収集ログ!$H:$H,G$4,収集ログ!$K:$K,1)</f>
        <v>0</v>
      </c>
      <c r="H29" s="51" t="n">
        <f aca="false">COUNTIFS(収集ログ!$B:$B,$A29,収集ログ!$H:$H,H$4,収集ログ!$K:$K,1)</f>
        <v>0</v>
      </c>
      <c r="I29" s="51" t="n">
        <f aca="false">COUNTIFS(収集ログ!$B:$B,$A29,収集ログ!$H:$H,I$4,収集ログ!$K:$K,1)</f>
        <v>0</v>
      </c>
    </row>
    <row r="30" customFormat="false" ht="15" hidden="false" customHeight="true" outlineLevel="0" collapsed="false">
      <c r="A30" s="16" t="s">
        <v>139</v>
      </c>
      <c r="B30" s="51" t="n">
        <f aca="false">COUNTIFS(収集ログ!$B:$B,$A30,収集ログ!$E:$E,"狭義",収集ログ!$K:$K,1)</f>
        <v>0</v>
      </c>
      <c r="C30" s="51" t="n">
        <f aca="false">COUNTIFS(収集ログ!$B:$B,$A30,収集ログ!$K:$K,1)</f>
        <v>0</v>
      </c>
      <c r="D30" s="51" t="n">
        <f aca="false">COUNTIFS(収集ログ!$B:$B,$A30,収集ログ!$H:$H,D$4,収集ログ!$K:$K,1)</f>
        <v>0</v>
      </c>
      <c r="E30" s="51" t="n">
        <f aca="false">COUNTIFS(収集ログ!$B:$B,$A30,収集ログ!$H:$H,E$4,収集ログ!$K:$K,1)</f>
        <v>0</v>
      </c>
      <c r="F30" s="51" t="n">
        <f aca="false">COUNTIFS(収集ログ!$B:$B,$A30,収集ログ!$H:$H,F$4,収集ログ!$K:$K,1)</f>
        <v>0</v>
      </c>
      <c r="G30" s="51" t="n">
        <f aca="false">COUNTIFS(収集ログ!$B:$B,$A30,収集ログ!$H:$H,G$4,収集ログ!$K:$K,1)</f>
        <v>0</v>
      </c>
      <c r="H30" s="51" t="n">
        <f aca="false">COUNTIFS(収集ログ!$B:$B,$A30,収集ログ!$H:$H,H$4,収集ログ!$K:$K,1)</f>
        <v>0</v>
      </c>
      <c r="I30" s="51" t="n">
        <f aca="false">COUNTIFS(収集ログ!$B:$B,$A30,収集ログ!$H:$H,I$4,収集ログ!$K:$K,1)</f>
        <v>0</v>
      </c>
    </row>
    <row r="31" customFormat="false" ht="15" hidden="false" customHeight="true" outlineLevel="0" collapsed="false">
      <c r="A31" s="16" t="s">
        <v>142</v>
      </c>
      <c r="B31" s="51" t="n">
        <f aca="false">COUNTIFS(収集ログ!$B:$B,$A31,収集ログ!$E:$E,"狭義",収集ログ!$K:$K,1)</f>
        <v>0</v>
      </c>
      <c r="C31" s="51" t="n">
        <f aca="false">COUNTIFS(収集ログ!$B:$B,$A31,収集ログ!$K:$K,1)</f>
        <v>0</v>
      </c>
      <c r="D31" s="51" t="n">
        <f aca="false">COUNTIFS(収集ログ!$B:$B,$A31,収集ログ!$H:$H,D$4,収集ログ!$K:$K,1)</f>
        <v>0</v>
      </c>
      <c r="E31" s="51" t="n">
        <f aca="false">COUNTIFS(収集ログ!$B:$B,$A31,収集ログ!$H:$H,E$4,収集ログ!$K:$K,1)</f>
        <v>0</v>
      </c>
      <c r="F31" s="51" t="n">
        <f aca="false">COUNTIFS(収集ログ!$B:$B,$A31,収集ログ!$H:$H,F$4,収集ログ!$K:$K,1)</f>
        <v>0</v>
      </c>
      <c r="G31" s="51" t="n">
        <f aca="false">COUNTIFS(収集ログ!$B:$B,$A31,収集ログ!$H:$H,G$4,収集ログ!$K:$K,1)</f>
        <v>0</v>
      </c>
      <c r="H31" s="51" t="n">
        <f aca="false">COUNTIFS(収集ログ!$B:$B,$A31,収集ログ!$H:$H,H$4,収集ログ!$K:$K,1)</f>
        <v>0</v>
      </c>
      <c r="I31" s="51" t="n">
        <f aca="false">COUNTIFS(収集ログ!$B:$B,$A31,収集ログ!$H:$H,I$4,収集ログ!$K:$K,1)</f>
        <v>0</v>
      </c>
    </row>
    <row r="32" customFormat="false" ht="15" hidden="false" customHeight="true" outlineLevel="0" collapsed="false">
      <c r="A32" s="16" t="s">
        <v>145</v>
      </c>
      <c r="B32" s="51" t="n">
        <f aca="false">COUNTIFS(収集ログ!$B:$B,$A32,収集ログ!$E:$E,"狭義",収集ログ!$K:$K,1)</f>
        <v>0</v>
      </c>
      <c r="C32" s="51" t="n">
        <f aca="false">COUNTIFS(収集ログ!$B:$B,$A32,収集ログ!$K:$K,1)</f>
        <v>0</v>
      </c>
      <c r="D32" s="51" t="n">
        <f aca="false">COUNTIFS(収集ログ!$B:$B,$A32,収集ログ!$H:$H,D$4,収集ログ!$K:$K,1)</f>
        <v>0</v>
      </c>
      <c r="E32" s="51" t="n">
        <f aca="false">COUNTIFS(収集ログ!$B:$B,$A32,収集ログ!$H:$H,E$4,収集ログ!$K:$K,1)</f>
        <v>0</v>
      </c>
      <c r="F32" s="51" t="n">
        <f aca="false">COUNTIFS(収集ログ!$B:$B,$A32,収集ログ!$H:$H,F$4,収集ログ!$K:$K,1)</f>
        <v>0</v>
      </c>
      <c r="G32" s="51" t="n">
        <f aca="false">COUNTIFS(収集ログ!$B:$B,$A32,収集ログ!$H:$H,G$4,収集ログ!$K:$K,1)</f>
        <v>0</v>
      </c>
      <c r="H32" s="51" t="n">
        <f aca="false">COUNTIFS(収集ログ!$B:$B,$A32,収集ログ!$H:$H,H$4,収集ログ!$K:$K,1)</f>
        <v>0</v>
      </c>
      <c r="I32" s="51" t="n">
        <f aca="false">COUNTIFS(収集ログ!$B:$B,$A32,収集ログ!$H:$H,I$4,収集ログ!$K:$K,1)</f>
        <v>0</v>
      </c>
    </row>
    <row r="33" customFormat="false" ht="15" hidden="false" customHeight="true" outlineLevel="0" collapsed="false">
      <c r="A33" s="16" t="s">
        <v>148</v>
      </c>
      <c r="B33" s="51" t="n">
        <f aca="false">COUNTIFS(収集ログ!$B:$B,$A33,収集ログ!$E:$E,"狭義",収集ログ!$K:$K,1)</f>
        <v>0</v>
      </c>
      <c r="C33" s="51" t="n">
        <f aca="false">COUNTIFS(収集ログ!$B:$B,$A33,収集ログ!$K:$K,1)</f>
        <v>0</v>
      </c>
      <c r="D33" s="51" t="n">
        <f aca="false">COUNTIFS(収集ログ!$B:$B,$A33,収集ログ!$H:$H,D$4,収集ログ!$K:$K,1)</f>
        <v>0</v>
      </c>
      <c r="E33" s="51" t="n">
        <f aca="false">COUNTIFS(収集ログ!$B:$B,$A33,収集ログ!$H:$H,E$4,収集ログ!$K:$K,1)</f>
        <v>0</v>
      </c>
      <c r="F33" s="51" t="n">
        <f aca="false">COUNTIFS(収集ログ!$B:$B,$A33,収集ログ!$H:$H,F$4,収集ログ!$K:$K,1)</f>
        <v>0</v>
      </c>
      <c r="G33" s="51" t="n">
        <f aca="false">COUNTIFS(収集ログ!$B:$B,$A33,収集ログ!$H:$H,G$4,収集ログ!$K:$K,1)</f>
        <v>0</v>
      </c>
      <c r="H33" s="51" t="n">
        <f aca="false">COUNTIFS(収集ログ!$B:$B,$A33,収集ログ!$H:$H,H$4,収集ログ!$K:$K,1)</f>
        <v>0</v>
      </c>
      <c r="I33" s="51" t="n">
        <f aca="false">COUNTIFS(収集ログ!$B:$B,$A33,収集ログ!$H:$H,I$4,収集ログ!$K:$K,1)</f>
        <v>0</v>
      </c>
    </row>
    <row r="34" customFormat="false" ht="15" hidden="false" customHeight="true" outlineLevel="0" collapsed="false">
      <c r="A34" s="16" t="s">
        <v>151</v>
      </c>
      <c r="B34" s="51" t="n">
        <f aca="false">COUNTIFS(収集ログ!$B:$B,$A34,収集ログ!$E:$E,"狭義",収集ログ!$K:$K,1)</f>
        <v>0</v>
      </c>
      <c r="C34" s="51" t="n">
        <f aca="false">COUNTIFS(収集ログ!$B:$B,$A34,収集ログ!$K:$K,1)</f>
        <v>0</v>
      </c>
      <c r="D34" s="51" t="n">
        <f aca="false">COUNTIFS(収集ログ!$B:$B,$A34,収集ログ!$H:$H,D$4,収集ログ!$K:$K,1)</f>
        <v>0</v>
      </c>
      <c r="E34" s="51" t="n">
        <f aca="false">COUNTIFS(収集ログ!$B:$B,$A34,収集ログ!$H:$H,E$4,収集ログ!$K:$K,1)</f>
        <v>0</v>
      </c>
      <c r="F34" s="51" t="n">
        <f aca="false">COUNTIFS(収集ログ!$B:$B,$A34,収集ログ!$H:$H,F$4,収集ログ!$K:$K,1)</f>
        <v>0</v>
      </c>
      <c r="G34" s="51" t="n">
        <f aca="false">COUNTIFS(収集ログ!$B:$B,$A34,収集ログ!$H:$H,G$4,収集ログ!$K:$K,1)</f>
        <v>0</v>
      </c>
      <c r="H34" s="51" t="n">
        <f aca="false">COUNTIFS(収集ログ!$B:$B,$A34,収集ログ!$H:$H,H$4,収集ログ!$K:$K,1)</f>
        <v>0</v>
      </c>
      <c r="I34" s="51" t="n">
        <f aca="false">COUNTIFS(収集ログ!$B:$B,$A34,収集ログ!$H:$H,I$4,収集ログ!$K:$K,1)</f>
        <v>0</v>
      </c>
    </row>
    <row r="35" customFormat="false" ht="15" hidden="false" customHeight="true" outlineLevel="0" collapsed="false">
      <c r="A35" s="16" t="s">
        <v>154</v>
      </c>
      <c r="B35" s="51" t="n">
        <f aca="false">COUNTIFS(収集ログ!$B:$B,$A35,収集ログ!$E:$E,"狭義",収集ログ!$K:$K,1)</f>
        <v>0</v>
      </c>
      <c r="C35" s="51" t="n">
        <f aca="false">COUNTIFS(収集ログ!$B:$B,$A35,収集ログ!$K:$K,1)</f>
        <v>0</v>
      </c>
      <c r="D35" s="51" t="n">
        <f aca="false">COUNTIFS(収集ログ!$B:$B,$A35,収集ログ!$H:$H,D$4,収集ログ!$K:$K,1)</f>
        <v>0</v>
      </c>
      <c r="E35" s="51" t="n">
        <f aca="false">COUNTIFS(収集ログ!$B:$B,$A35,収集ログ!$H:$H,E$4,収集ログ!$K:$K,1)</f>
        <v>0</v>
      </c>
      <c r="F35" s="51" t="n">
        <f aca="false">COUNTIFS(収集ログ!$B:$B,$A35,収集ログ!$H:$H,F$4,収集ログ!$K:$K,1)</f>
        <v>0</v>
      </c>
      <c r="G35" s="51" t="n">
        <f aca="false">COUNTIFS(収集ログ!$B:$B,$A35,収集ログ!$H:$H,G$4,収集ログ!$K:$K,1)</f>
        <v>0</v>
      </c>
      <c r="H35" s="51" t="n">
        <f aca="false">COUNTIFS(収集ログ!$B:$B,$A35,収集ログ!$H:$H,H$4,収集ログ!$K:$K,1)</f>
        <v>0</v>
      </c>
      <c r="I35" s="51" t="n">
        <f aca="false">COUNTIFS(収集ログ!$B:$B,$A35,収集ログ!$H:$H,I$4,収集ログ!$K:$K,1)</f>
        <v>0</v>
      </c>
    </row>
    <row r="36" customFormat="false" ht="15" hidden="false" customHeight="true" outlineLevel="0" collapsed="false">
      <c r="A36" s="16" t="s">
        <v>157</v>
      </c>
      <c r="B36" s="51" t="n">
        <f aca="false">COUNTIFS(収集ログ!$B:$B,$A36,収集ログ!$E:$E,"狭義",収集ログ!$K:$K,1)</f>
        <v>0</v>
      </c>
      <c r="C36" s="51" t="n">
        <f aca="false">COUNTIFS(収集ログ!$B:$B,$A36,収集ログ!$K:$K,1)</f>
        <v>0</v>
      </c>
      <c r="D36" s="51" t="n">
        <f aca="false">COUNTIFS(収集ログ!$B:$B,$A36,収集ログ!$H:$H,D$4,収集ログ!$K:$K,1)</f>
        <v>0</v>
      </c>
      <c r="E36" s="51" t="n">
        <f aca="false">COUNTIFS(収集ログ!$B:$B,$A36,収集ログ!$H:$H,E$4,収集ログ!$K:$K,1)</f>
        <v>0</v>
      </c>
      <c r="F36" s="51" t="n">
        <f aca="false">COUNTIFS(収集ログ!$B:$B,$A36,収集ログ!$H:$H,F$4,収集ログ!$K:$K,1)</f>
        <v>0</v>
      </c>
      <c r="G36" s="51" t="n">
        <f aca="false">COUNTIFS(収集ログ!$B:$B,$A36,収集ログ!$H:$H,G$4,収集ログ!$K:$K,1)</f>
        <v>0</v>
      </c>
      <c r="H36" s="51" t="n">
        <f aca="false">COUNTIFS(収集ログ!$B:$B,$A36,収集ログ!$H:$H,H$4,収集ログ!$K:$K,1)</f>
        <v>0</v>
      </c>
      <c r="I36" s="51" t="n">
        <f aca="false">COUNTIFS(収集ログ!$B:$B,$A36,収集ログ!$H:$H,I$4,収集ログ!$K:$K,1)</f>
        <v>0</v>
      </c>
    </row>
    <row r="37" customFormat="false" ht="15" hidden="false" customHeight="true" outlineLevel="0" collapsed="false">
      <c r="A37" s="16" t="s">
        <v>160</v>
      </c>
      <c r="B37" s="51" t="n">
        <f aca="false">COUNTIFS(収集ログ!$B:$B,$A37,収集ログ!$E:$E,"狭義",収集ログ!$K:$K,1)</f>
        <v>0</v>
      </c>
      <c r="C37" s="51" t="n">
        <f aca="false">COUNTIFS(収集ログ!$B:$B,$A37,収集ログ!$K:$K,1)</f>
        <v>0</v>
      </c>
      <c r="D37" s="51" t="n">
        <f aca="false">COUNTIFS(収集ログ!$B:$B,$A37,収集ログ!$H:$H,D$4,収集ログ!$K:$K,1)</f>
        <v>0</v>
      </c>
      <c r="E37" s="51" t="n">
        <f aca="false">COUNTIFS(収集ログ!$B:$B,$A37,収集ログ!$H:$H,E$4,収集ログ!$K:$K,1)</f>
        <v>0</v>
      </c>
      <c r="F37" s="51" t="n">
        <f aca="false">COUNTIFS(収集ログ!$B:$B,$A37,収集ログ!$H:$H,F$4,収集ログ!$K:$K,1)</f>
        <v>0</v>
      </c>
      <c r="G37" s="51" t="n">
        <f aca="false">COUNTIFS(収集ログ!$B:$B,$A37,収集ログ!$H:$H,G$4,収集ログ!$K:$K,1)</f>
        <v>0</v>
      </c>
      <c r="H37" s="51" t="n">
        <f aca="false">COUNTIFS(収集ログ!$B:$B,$A37,収集ログ!$H:$H,H$4,収集ログ!$K:$K,1)</f>
        <v>0</v>
      </c>
      <c r="I37" s="51" t="n">
        <f aca="false">COUNTIFS(収集ログ!$B:$B,$A37,収集ログ!$H:$H,I$4,収集ログ!$K:$K,1)</f>
        <v>0</v>
      </c>
    </row>
    <row r="38" customFormat="false" ht="15" hidden="false" customHeight="true" outlineLevel="0" collapsed="false">
      <c r="A38" s="16" t="s">
        <v>163</v>
      </c>
      <c r="B38" s="51" t="n">
        <f aca="false">COUNTIFS(収集ログ!$B:$B,$A38,収集ログ!$E:$E,"狭義",収集ログ!$K:$K,1)</f>
        <v>0</v>
      </c>
      <c r="C38" s="51" t="n">
        <f aca="false">COUNTIFS(収集ログ!$B:$B,$A38,収集ログ!$K:$K,1)</f>
        <v>0</v>
      </c>
      <c r="D38" s="51" t="n">
        <f aca="false">COUNTIFS(収集ログ!$B:$B,$A38,収集ログ!$H:$H,D$4,収集ログ!$K:$K,1)</f>
        <v>0</v>
      </c>
      <c r="E38" s="51" t="n">
        <f aca="false">COUNTIFS(収集ログ!$B:$B,$A38,収集ログ!$H:$H,E$4,収集ログ!$K:$K,1)</f>
        <v>0</v>
      </c>
      <c r="F38" s="51" t="n">
        <f aca="false">COUNTIFS(収集ログ!$B:$B,$A38,収集ログ!$H:$H,F$4,収集ログ!$K:$K,1)</f>
        <v>0</v>
      </c>
      <c r="G38" s="51" t="n">
        <f aca="false">COUNTIFS(収集ログ!$B:$B,$A38,収集ログ!$H:$H,G$4,収集ログ!$K:$K,1)</f>
        <v>0</v>
      </c>
      <c r="H38" s="51" t="n">
        <f aca="false">COUNTIFS(収集ログ!$B:$B,$A38,収集ログ!$H:$H,H$4,収集ログ!$K:$K,1)</f>
        <v>0</v>
      </c>
      <c r="I38" s="51" t="n">
        <f aca="false">COUNTIFS(収集ログ!$B:$B,$A38,収集ログ!$H:$H,I$4,収集ログ!$K:$K,1)</f>
        <v>0</v>
      </c>
    </row>
    <row r="39" customFormat="false" ht="15" hidden="false" customHeight="true" outlineLevel="0" collapsed="false">
      <c r="A39" s="16" t="s">
        <v>166</v>
      </c>
      <c r="B39" s="51" t="n">
        <f aca="false">COUNTIFS(収集ログ!$B:$B,$A39,収集ログ!$E:$E,"狭義",収集ログ!$K:$K,1)</f>
        <v>0</v>
      </c>
      <c r="C39" s="51" t="n">
        <f aca="false">COUNTIFS(収集ログ!$B:$B,$A39,収集ログ!$K:$K,1)</f>
        <v>0</v>
      </c>
      <c r="D39" s="51" t="n">
        <f aca="false">COUNTIFS(収集ログ!$B:$B,$A39,収集ログ!$H:$H,D$4,収集ログ!$K:$K,1)</f>
        <v>0</v>
      </c>
      <c r="E39" s="51" t="n">
        <f aca="false">COUNTIFS(収集ログ!$B:$B,$A39,収集ログ!$H:$H,E$4,収集ログ!$K:$K,1)</f>
        <v>0</v>
      </c>
      <c r="F39" s="51" t="n">
        <f aca="false">COUNTIFS(収集ログ!$B:$B,$A39,収集ログ!$H:$H,F$4,収集ログ!$K:$K,1)</f>
        <v>0</v>
      </c>
      <c r="G39" s="51" t="n">
        <f aca="false">COUNTIFS(収集ログ!$B:$B,$A39,収集ログ!$H:$H,G$4,収集ログ!$K:$K,1)</f>
        <v>0</v>
      </c>
      <c r="H39" s="51" t="n">
        <f aca="false">COUNTIFS(収集ログ!$B:$B,$A39,収集ログ!$H:$H,H$4,収集ログ!$K:$K,1)</f>
        <v>0</v>
      </c>
      <c r="I39" s="51" t="n">
        <f aca="false">COUNTIFS(収集ログ!$B:$B,$A39,収集ログ!$H:$H,I$4,収集ログ!$K:$K,1)</f>
        <v>0</v>
      </c>
    </row>
    <row r="40" customFormat="false" ht="15" hidden="false" customHeight="true" outlineLevel="0" collapsed="false">
      <c r="A40" s="16" t="s">
        <v>169</v>
      </c>
      <c r="B40" s="51" t="n">
        <f aca="false">COUNTIFS(収集ログ!$B:$B,$A40,収集ログ!$E:$E,"狭義",収集ログ!$K:$K,1)</f>
        <v>1</v>
      </c>
      <c r="C40" s="51" t="n">
        <f aca="false">COUNTIFS(収集ログ!$B:$B,$A40,収集ログ!$K:$K,1)</f>
        <v>1</v>
      </c>
      <c r="D40" s="51" t="n">
        <f aca="false">COUNTIFS(収集ログ!$B:$B,$A40,収集ログ!$H:$H,D$4,収集ログ!$K:$K,1)</f>
        <v>1</v>
      </c>
      <c r="E40" s="51" t="n">
        <f aca="false">COUNTIFS(収集ログ!$B:$B,$A40,収集ログ!$H:$H,E$4,収集ログ!$K:$K,1)</f>
        <v>0</v>
      </c>
      <c r="F40" s="51" t="n">
        <f aca="false">COUNTIFS(収集ログ!$B:$B,$A40,収集ログ!$H:$H,F$4,収集ログ!$K:$K,1)</f>
        <v>0</v>
      </c>
      <c r="G40" s="51" t="n">
        <f aca="false">COUNTIFS(収集ログ!$B:$B,$A40,収集ログ!$H:$H,G$4,収集ログ!$K:$K,1)</f>
        <v>0</v>
      </c>
      <c r="H40" s="51" t="n">
        <f aca="false">COUNTIFS(収集ログ!$B:$B,$A40,収集ログ!$H:$H,H$4,収集ログ!$K:$K,1)</f>
        <v>0</v>
      </c>
      <c r="I40" s="51" t="n">
        <f aca="false">COUNTIFS(収集ログ!$B:$B,$A40,収集ログ!$H:$H,I$4,収集ログ!$K:$K,1)</f>
        <v>0</v>
      </c>
    </row>
    <row r="41" customFormat="false" ht="15" hidden="false" customHeight="true" outlineLevel="0" collapsed="false">
      <c r="A41" s="16" t="s">
        <v>172</v>
      </c>
      <c r="B41" s="51" t="n">
        <f aca="false">COUNTIFS(収集ログ!$B:$B,$A41,収集ログ!$E:$E,"狭義",収集ログ!$K:$K,1)</f>
        <v>0</v>
      </c>
      <c r="C41" s="51" t="n">
        <f aca="false">COUNTIFS(収集ログ!$B:$B,$A41,収集ログ!$K:$K,1)</f>
        <v>0</v>
      </c>
      <c r="D41" s="51" t="n">
        <f aca="false">COUNTIFS(収集ログ!$B:$B,$A41,収集ログ!$H:$H,D$4,収集ログ!$K:$K,1)</f>
        <v>0</v>
      </c>
      <c r="E41" s="51" t="n">
        <f aca="false">COUNTIFS(収集ログ!$B:$B,$A41,収集ログ!$H:$H,E$4,収集ログ!$K:$K,1)</f>
        <v>0</v>
      </c>
      <c r="F41" s="51" t="n">
        <f aca="false">COUNTIFS(収集ログ!$B:$B,$A41,収集ログ!$H:$H,F$4,収集ログ!$K:$K,1)</f>
        <v>0</v>
      </c>
      <c r="G41" s="51" t="n">
        <f aca="false">COUNTIFS(収集ログ!$B:$B,$A41,収集ログ!$H:$H,G$4,収集ログ!$K:$K,1)</f>
        <v>0</v>
      </c>
      <c r="H41" s="51" t="n">
        <f aca="false">COUNTIFS(収集ログ!$B:$B,$A41,収集ログ!$H:$H,H$4,収集ログ!$K:$K,1)</f>
        <v>0</v>
      </c>
      <c r="I41" s="51" t="n">
        <f aca="false">COUNTIFS(収集ログ!$B:$B,$A41,収集ログ!$H:$H,I$4,収集ログ!$K:$K,1)</f>
        <v>0</v>
      </c>
    </row>
    <row r="42" customFormat="false" ht="15" hidden="false" customHeight="true" outlineLevel="0" collapsed="false">
      <c r="A42" s="16" t="s">
        <v>175</v>
      </c>
      <c r="B42" s="51" t="n">
        <f aca="false">COUNTIFS(収集ログ!$B:$B,$A42,収集ログ!$E:$E,"狭義",収集ログ!$K:$K,1)</f>
        <v>0</v>
      </c>
      <c r="C42" s="51" t="n">
        <f aca="false">COUNTIFS(収集ログ!$B:$B,$A42,収集ログ!$K:$K,1)</f>
        <v>0</v>
      </c>
      <c r="D42" s="51" t="n">
        <f aca="false">COUNTIFS(収集ログ!$B:$B,$A42,収集ログ!$H:$H,D$4,収集ログ!$K:$K,1)</f>
        <v>0</v>
      </c>
      <c r="E42" s="51" t="n">
        <f aca="false">COUNTIFS(収集ログ!$B:$B,$A42,収集ログ!$H:$H,E$4,収集ログ!$K:$K,1)</f>
        <v>0</v>
      </c>
      <c r="F42" s="51" t="n">
        <f aca="false">COUNTIFS(収集ログ!$B:$B,$A42,収集ログ!$H:$H,F$4,収集ログ!$K:$K,1)</f>
        <v>0</v>
      </c>
      <c r="G42" s="51" t="n">
        <f aca="false">COUNTIFS(収集ログ!$B:$B,$A42,収集ログ!$H:$H,G$4,収集ログ!$K:$K,1)</f>
        <v>0</v>
      </c>
      <c r="H42" s="51" t="n">
        <f aca="false">COUNTIFS(収集ログ!$B:$B,$A42,収集ログ!$H:$H,H$4,収集ログ!$K:$K,1)</f>
        <v>0</v>
      </c>
      <c r="I42" s="51" t="n">
        <f aca="false">COUNTIFS(収集ログ!$B:$B,$A42,収集ログ!$H:$H,I$4,収集ログ!$K:$K,1)</f>
        <v>0</v>
      </c>
    </row>
    <row r="43" customFormat="false" ht="15" hidden="false" customHeight="true" outlineLevel="0" collapsed="false">
      <c r="A43" s="16" t="s">
        <v>178</v>
      </c>
      <c r="B43" s="51" t="n">
        <f aca="false">COUNTIFS(収集ログ!$B:$B,$A43,収集ログ!$E:$E,"狭義",収集ログ!$K:$K,1)</f>
        <v>0</v>
      </c>
      <c r="C43" s="51" t="n">
        <f aca="false">COUNTIFS(収集ログ!$B:$B,$A43,収集ログ!$K:$K,1)</f>
        <v>0</v>
      </c>
      <c r="D43" s="51" t="n">
        <f aca="false">COUNTIFS(収集ログ!$B:$B,$A43,収集ログ!$H:$H,D$4,収集ログ!$K:$K,1)</f>
        <v>0</v>
      </c>
      <c r="E43" s="51" t="n">
        <f aca="false">COUNTIFS(収集ログ!$B:$B,$A43,収集ログ!$H:$H,E$4,収集ログ!$K:$K,1)</f>
        <v>0</v>
      </c>
      <c r="F43" s="51" t="n">
        <f aca="false">COUNTIFS(収集ログ!$B:$B,$A43,収集ログ!$H:$H,F$4,収集ログ!$K:$K,1)</f>
        <v>0</v>
      </c>
      <c r="G43" s="51" t="n">
        <f aca="false">COUNTIFS(収集ログ!$B:$B,$A43,収集ログ!$H:$H,G$4,収集ログ!$K:$K,1)</f>
        <v>0</v>
      </c>
      <c r="H43" s="51" t="n">
        <f aca="false">COUNTIFS(収集ログ!$B:$B,$A43,収集ログ!$H:$H,H$4,収集ログ!$K:$K,1)</f>
        <v>0</v>
      </c>
      <c r="I43" s="51" t="n">
        <f aca="false">COUNTIFS(収集ログ!$B:$B,$A43,収集ログ!$H:$H,I$4,収集ログ!$K:$K,1)</f>
        <v>0</v>
      </c>
    </row>
    <row r="44" customFormat="false" ht="15" hidden="false" customHeight="true" outlineLevel="0" collapsed="false">
      <c r="A44" s="16" t="s">
        <v>181</v>
      </c>
      <c r="B44" s="51" t="n">
        <f aca="false">COUNTIFS(収集ログ!$B:$B,$A44,収集ログ!$E:$E,"狭義",収集ログ!$K:$K,1)</f>
        <v>1</v>
      </c>
      <c r="C44" s="51" t="n">
        <f aca="false">COUNTIFS(収集ログ!$B:$B,$A44,収集ログ!$K:$K,1)</f>
        <v>3</v>
      </c>
      <c r="D44" s="51" t="n">
        <f aca="false">COUNTIFS(収集ログ!$B:$B,$A44,収集ログ!$H:$H,D$4,収集ログ!$K:$K,1)</f>
        <v>0</v>
      </c>
      <c r="E44" s="51" t="n">
        <f aca="false">COUNTIFS(収集ログ!$B:$B,$A44,収集ログ!$H:$H,E$4,収集ログ!$K:$K,1)</f>
        <v>0</v>
      </c>
      <c r="F44" s="51" t="n">
        <f aca="false">COUNTIFS(収集ログ!$B:$B,$A44,収集ログ!$H:$H,F$4,収集ログ!$K:$K,1)</f>
        <v>2</v>
      </c>
      <c r="G44" s="51" t="n">
        <f aca="false">COUNTIFS(収集ログ!$B:$B,$A44,収集ログ!$H:$H,G$4,収集ログ!$K:$K,1)</f>
        <v>1</v>
      </c>
      <c r="H44" s="51" t="n">
        <f aca="false">COUNTIFS(収集ログ!$B:$B,$A44,収集ログ!$H:$H,H$4,収集ログ!$K:$K,1)</f>
        <v>0</v>
      </c>
      <c r="I44" s="51" t="n">
        <f aca="false">COUNTIFS(収集ログ!$B:$B,$A44,収集ログ!$H:$H,I$4,収集ログ!$K:$K,1)</f>
        <v>0</v>
      </c>
    </row>
    <row r="45" customFormat="false" ht="15" hidden="false" customHeight="true" outlineLevel="0" collapsed="false">
      <c r="A45" s="16" t="s">
        <v>184</v>
      </c>
      <c r="B45" s="51" t="n">
        <f aca="false">COUNTIFS(収集ログ!$B:$B,$A45,収集ログ!$E:$E,"狭義",収集ログ!$K:$K,1)</f>
        <v>0</v>
      </c>
      <c r="C45" s="51" t="n">
        <f aca="false">COUNTIFS(収集ログ!$B:$B,$A45,収集ログ!$K:$K,1)</f>
        <v>0</v>
      </c>
      <c r="D45" s="51" t="n">
        <f aca="false">COUNTIFS(収集ログ!$B:$B,$A45,収集ログ!$H:$H,D$4,収集ログ!$K:$K,1)</f>
        <v>0</v>
      </c>
      <c r="E45" s="51" t="n">
        <f aca="false">COUNTIFS(収集ログ!$B:$B,$A45,収集ログ!$H:$H,E$4,収集ログ!$K:$K,1)</f>
        <v>0</v>
      </c>
      <c r="F45" s="51" t="n">
        <f aca="false">COUNTIFS(収集ログ!$B:$B,$A45,収集ログ!$H:$H,F$4,収集ログ!$K:$K,1)</f>
        <v>0</v>
      </c>
      <c r="G45" s="51" t="n">
        <f aca="false">COUNTIFS(収集ログ!$B:$B,$A45,収集ログ!$H:$H,G$4,収集ログ!$K:$K,1)</f>
        <v>0</v>
      </c>
      <c r="H45" s="51" t="n">
        <f aca="false">COUNTIFS(収集ログ!$B:$B,$A45,収集ログ!$H:$H,H$4,収集ログ!$K:$K,1)</f>
        <v>0</v>
      </c>
      <c r="I45" s="51" t="n">
        <f aca="false">COUNTIFS(収集ログ!$B:$B,$A45,収集ログ!$H:$H,I$4,収集ログ!$K:$K,1)</f>
        <v>0</v>
      </c>
    </row>
    <row r="46" customFormat="false" ht="15" hidden="false" customHeight="true" outlineLevel="0" collapsed="false">
      <c r="A46" s="16" t="s">
        <v>187</v>
      </c>
      <c r="B46" s="51" t="n">
        <f aca="false">COUNTIFS(収集ログ!$B:$B,$A46,収集ログ!$E:$E,"狭義",収集ログ!$K:$K,1)</f>
        <v>0</v>
      </c>
      <c r="C46" s="51" t="n">
        <f aca="false">COUNTIFS(収集ログ!$B:$B,$A46,収集ログ!$K:$K,1)</f>
        <v>0</v>
      </c>
      <c r="D46" s="51" t="n">
        <f aca="false">COUNTIFS(収集ログ!$B:$B,$A46,収集ログ!$H:$H,D$4,収集ログ!$K:$K,1)</f>
        <v>0</v>
      </c>
      <c r="E46" s="51" t="n">
        <f aca="false">COUNTIFS(収集ログ!$B:$B,$A46,収集ログ!$H:$H,E$4,収集ログ!$K:$K,1)</f>
        <v>0</v>
      </c>
      <c r="F46" s="51" t="n">
        <f aca="false">COUNTIFS(収集ログ!$B:$B,$A46,収集ログ!$H:$H,F$4,収集ログ!$K:$K,1)</f>
        <v>0</v>
      </c>
      <c r="G46" s="51" t="n">
        <f aca="false">COUNTIFS(収集ログ!$B:$B,$A46,収集ログ!$H:$H,G$4,収集ログ!$K:$K,1)</f>
        <v>0</v>
      </c>
      <c r="H46" s="51" t="n">
        <f aca="false">COUNTIFS(収集ログ!$B:$B,$A46,収集ログ!$H:$H,H$4,収集ログ!$K:$K,1)</f>
        <v>0</v>
      </c>
      <c r="I46" s="51" t="n">
        <f aca="false">COUNTIFS(収集ログ!$B:$B,$A46,収集ログ!$H:$H,I$4,収集ログ!$K:$K,1)</f>
        <v>0</v>
      </c>
    </row>
    <row r="47" customFormat="false" ht="15" hidden="false" customHeight="true" outlineLevel="0" collapsed="false">
      <c r="A47" s="16" t="s">
        <v>190</v>
      </c>
      <c r="B47" s="51" t="n">
        <f aca="false">COUNTIFS(収集ログ!$B:$B,$A47,収集ログ!$E:$E,"狭義",収集ログ!$K:$K,1)</f>
        <v>0</v>
      </c>
      <c r="C47" s="51" t="n">
        <f aca="false">COUNTIFS(収集ログ!$B:$B,$A47,収集ログ!$K:$K,1)</f>
        <v>0</v>
      </c>
      <c r="D47" s="51" t="n">
        <f aca="false">COUNTIFS(収集ログ!$B:$B,$A47,収集ログ!$H:$H,D$4,収集ログ!$K:$K,1)</f>
        <v>0</v>
      </c>
      <c r="E47" s="51" t="n">
        <f aca="false">COUNTIFS(収集ログ!$B:$B,$A47,収集ログ!$H:$H,E$4,収集ログ!$K:$K,1)</f>
        <v>0</v>
      </c>
      <c r="F47" s="51" t="n">
        <f aca="false">COUNTIFS(収集ログ!$B:$B,$A47,収集ログ!$H:$H,F$4,収集ログ!$K:$K,1)</f>
        <v>0</v>
      </c>
      <c r="G47" s="51" t="n">
        <f aca="false">COUNTIFS(収集ログ!$B:$B,$A47,収集ログ!$H:$H,G$4,収集ログ!$K:$K,1)</f>
        <v>0</v>
      </c>
      <c r="H47" s="51" t="n">
        <f aca="false">COUNTIFS(収集ログ!$B:$B,$A47,収集ログ!$H:$H,H$4,収集ログ!$K:$K,1)</f>
        <v>0</v>
      </c>
      <c r="I47" s="51" t="n">
        <f aca="false">COUNTIFS(収集ログ!$B:$B,$A47,収集ログ!$H:$H,I$4,収集ログ!$K:$K,1)</f>
        <v>0</v>
      </c>
    </row>
    <row r="48" customFormat="false" ht="15" hidden="false" customHeight="true" outlineLevel="0" collapsed="false">
      <c r="A48" s="16" t="s">
        <v>193</v>
      </c>
      <c r="B48" s="51" t="n">
        <f aca="false">COUNTIFS(収集ログ!$B:$B,$A48,収集ログ!$E:$E,"狭義",収集ログ!$K:$K,1)</f>
        <v>0</v>
      </c>
      <c r="C48" s="51" t="n">
        <f aca="false">COUNTIFS(収集ログ!$B:$B,$A48,収集ログ!$K:$K,1)</f>
        <v>0</v>
      </c>
      <c r="D48" s="51" t="n">
        <f aca="false">COUNTIFS(収集ログ!$B:$B,$A48,収集ログ!$H:$H,D$4,収集ログ!$K:$K,1)</f>
        <v>0</v>
      </c>
      <c r="E48" s="51" t="n">
        <f aca="false">COUNTIFS(収集ログ!$B:$B,$A48,収集ログ!$H:$H,E$4,収集ログ!$K:$K,1)</f>
        <v>0</v>
      </c>
      <c r="F48" s="51" t="n">
        <f aca="false">COUNTIFS(収集ログ!$B:$B,$A48,収集ログ!$H:$H,F$4,収集ログ!$K:$K,1)</f>
        <v>0</v>
      </c>
      <c r="G48" s="51" t="n">
        <f aca="false">COUNTIFS(収集ログ!$B:$B,$A48,収集ログ!$H:$H,G$4,収集ログ!$K:$K,1)</f>
        <v>0</v>
      </c>
      <c r="H48" s="51" t="n">
        <f aca="false">COUNTIFS(収集ログ!$B:$B,$A48,収集ログ!$H:$H,H$4,収集ログ!$K:$K,1)</f>
        <v>0</v>
      </c>
      <c r="I48" s="51" t="n">
        <f aca="false">COUNTIFS(収集ログ!$B:$B,$A48,収集ログ!$H:$H,I$4,収集ログ!$K:$K,1)</f>
        <v>0</v>
      </c>
    </row>
    <row r="49" customFormat="false" ht="15" hidden="false" customHeight="true" outlineLevel="0" collapsed="false">
      <c r="A49" s="16" t="s">
        <v>196</v>
      </c>
      <c r="B49" s="51" t="n">
        <f aca="false">COUNTIFS(収集ログ!$B:$B,$A49,収集ログ!$E:$E,"狭義",収集ログ!$K:$K,1)</f>
        <v>0</v>
      </c>
      <c r="C49" s="51" t="n">
        <f aca="false">COUNTIFS(収集ログ!$B:$B,$A49,収集ログ!$K:$K,1)</f>
        <v>0</v>
      </c>
      <c r="D49" s="51" t="n">
        <f aca="false">COUNTIFS(収集ログ!$B:$B,$A49,収集ログ!$H:$H,D$4,収集ログ!$K:$K,1)</f>
        <v>0</v>
      </c>
      <c r="E49" s="51" t="n">
        <f aca="false">COUNTIFS(収集ログ!$B:$B,$A49,収集ログ!$H:$H,E$4,収集ログ!$K:$K,1)</f>
        <v>0</v>
      </c>
      <c r="F49" s="51" t="n">
        <f aca="false">COUNTIFS(収集ログ!$B:$B,$A49,収集ログ!$H:$H,F$4,収集ログ!$K:$K,1)</f>
        <v>0</v>
      </c>
      <c r="G49" s="51" t="n">
        <f aca="false">COUNTIFS(収集ログ!$B:$B,$A49,収集ログ!$H:$H,G$4,収集ログ!$K:$K,1)</f>
        <v>0</v>
      </c>
      <c r="H49" s="51" t="n">
        <f aca="false">COUNTIFS(収集ログ!$B:$B,$A49,収集ログ!$H:$H,H$4,収集ログ!$K:$K,1)</f>
        <v>0</v>
      </c>
      <c r="I49" s="51" t="n">
        <f aca="false">COUNTIFS(収集ログ!$B:$B,$A49,収集ログ!$H:$H,I$4,収集ログ!$K:$K,1)</f>
        <v>0</v>
      </c>
    </row>
    <row r="50" customFormat="false" ht="15" hidden="false" customHeight="true" outlineLevel="0" collapsed="false">
      <c r="A50" s="16" t="s">
        <v>199</v>
      </c>
      <c r="B50" s="51" t="n">
        <f aca="false">COUNTIFS(収集ログ!$B:$B,$A50,収集ログ!$E:$E,"狭義",収集ログ!$K:$K,1)</f>
        <v>0</v>
      </c>
      <c r="C50" s="51" t="n">
        <f aca="false">COUNTIFS(収集ログ!$B:$B,$A50,収集ログ!$K:$K,1)</f>
        <v>0</v>
      </c>
      <c r="D50" s="51" t="n">
        <f aca="false">COUNTIFS(収集ログ!$B:$B,$A50,収集ログ!$H:$H,D$4,収集ログ!$K:$K,1)</f>
        <v>0</v>
      </c>
      <c r="E50" s="51" t="n">
        <f aca="false">COUNTIFS(収集ログ!$B:$B,$A50,収集ログ!$H:$H,E$4,収集ログ!$K:$K,1)</f>
        <v>0</v>
      </c>
      <c r="F50" s="51" t="n">
        <f aca="false">COUNTIFS(収集ログ!$B:$B,$A50,収集ログ!$H:$H,F$4,収集ログ!$K:$K,1)</f>
        <v>0</v>
      </c>
      <c r="G50" s="51" t="n">
        <f aca="false">COUNTIFS(収集ログ!$B:$B,$A50,収集ログ!$H:$H,G$4,収集ログ!$K:$K,1)</f>
        <v>0</v>
      </c>
      <c r="H50" s="51" t="n">
        <f aca="false">COUNTIFS(収集ログ!$B:$B,$A50,収集ログ!$H:$H,H$4,収集ログ!$K:$K,1)</f>
        <v>0</v>
      </c>
      <c r="I50" s="51" t="n">
        <f aca="false">COUNTIFS(収集ログ!$B:$B,$A50,収集ログ!$H:$H,I$4,収集ログ!$K:$K,1)</f>
        <v>0</v>
      </c>
    </row>
    <row r="51" customFormat="false" ht="15" hidden="false" customHeight="true" outlineLevel="0" collapsed="false">
      <c r="A51" s="16" t="s">
        <v>202</v>
      </c>
      <c r="B51" s="51" t="n">
        <f aca="false">COUNTIFS(収集ログ!$B:$B,$A51,収集ログ!$E:$E,"狭義",収集ログ!$K:$K,1)</f>
        <v>0</v>
      </c>
      <c r="C51" s="51" t="n">
        <f aca="false">COUNTIFS(収集ログ!$B:$B,$A51,収集ログ!$K:$K,1)</f>
        <v>0</v>
      </c>
      <c r="D51" s="51" t="n">
        <f aca="false">COUNTIFS(収集ログ!$B:$B,$A51,収集ログ!$H:$H,D$4,収集ログ!$K:$K,1)</f>
        <v>0</v>
      </c>
      <c r="E51" s="51" t="n">
        <f aca="false">COUNTIFS(収集ログ!$B:$B,$A51,収集ログ!$H:$H,E$4,収集ログ!$K:$K,1)</f>
        <v>0</v>
      </c>
      <c r="F51" s="51" t="n">
        <f aca="false">COUNTIFS(収集ログ!$B:$B,$A51,収集ログ!$H:$H,F$4,収集ログ!$K:$K,1)</f>
        <v>0</v>
      </c>
      <c r="G51" s="51" t="n">
        <f aca="false">COUNTIFS(収集ログ!$B:$B,$A51,収集ログ!$H:$H,G$4,収集ログ!$K:$K,1)</f>
        <v>0</v>
      </c>
      <c r="H51" s="51" t="n">
        <f aca="false">COUNTIFS(収集ログ!$B:$B,$A51,収集ログ!$H:$H,H$4,収集ログ!$K:$K,1)</f>
        <v>0</v>
      </c>
      <c r="I51" s="51" t="n">
        <f aca="false">COUNTIFS(収集ログ!$B:$B,$A51,収集ログ!$H:$H,I$4,収集ログ!$K:$K,1)</f>
        <v>0</v>
      </c>
    </row>
    <row r="52" customFormat="false" ht="15" hidden="false" customHeight="true" outlineLevel="0" collapsed="false">
      <c r="A52" s="52" t="s">
        <v>297</v>
      </c>
      <c r="B52" s="53" t="n">
        <f aca="false">SUM(B5:B51)</f>
        <v>6</v>
      </c>
      <c r="C52" s="53" t="n">
        <f aca="false">SUM(C5:C51)</f>
        <v>10</v>
      </c>
      <c r="D52" s="53" t="n">
        <f aca="false">SUM(D5:D51)</f>
        <v>2</v>
      </c>
      <c r="E52" s="53" t="n">
        <f aca="false">SUM(E5:E51)</f>
        <v>1</v>
      </c>
      <c r="F52" s="53" t="n">
        <f aca="false">SUM(F5:F51)</f>
        <v>4</v>
      </c>
      <c r="G52" s="53" t="n">
        <f aca="false">SUM(G5:G51)</f>
        <v>1</v>
      </c>
      <c r="H52" s="53" t="n">
        <f aca="false">SUM(H5:H51)</f>
        <v>0</v>
      </c>
      <c r="I52" s="53" t="n">
        <f aca="false">SUM(I5:I51)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7"/>
    <col collapsed="false" customWidth="true" hidden="false" outlineLevel="0" max="6" min="6" style="1" width="12"/>
    <col collapsed="false" customWidth="true" hidden="false" outlineLevel="0" max="7" min="7" style="1" width="34"/>
    <col collapsed="false" customWidth="true" hidden="false" outlineLevel="0" max="8" min="8" style="1" width="17"/>
    <col collapsed="false" customWidth="true" hidden="false" outlineLevel="0" max="9" min="9" style="1" width="30"/>
    <col collapsed="false" customWidth="true" hidden="false" outlineLevel="0" max="10" min="10" style="1" width="11"/>
    <col collapsed="false" customWidth="true" hidden="false" outlineLevel="0" max="11" min="11" style="1" width="7"/>
    <col collapsed="false" customWidth="true" hidden="false" outlineLevel="0" max="12" min="12" style="1" width="36"/>
    <col collapsed="false" customWidth="true" hidden="false" outlineLevel="0" max="13" min="13" style="1" width="11"/>
    <col collapsed="false" customWidth="true" hidden="false" outlineLevel="0" max="14" min="14" style="1" width="6"/>
    <col collapsed="false" customWidth="true" hidden="false" outlineLevel="0" max="15" min="15" style="1" width="13"/>
    <col collapsed="false" customWidth="true" hidden="false" outlineLevel="0" max="16" min="16" style="1" width="15"/>
    <col collapsed="false" customWidth="true" hidden="false" outlineLevel="0" max="17" min="17" style="1" width="11"/>
    <col collapsed="false" customWidth="true" hidden="false" outlineLevel="0" max="18" min="18" style="1" width="13"/>
    <col collapsed="false" customWidth="true" hidden="false" outlineLevel="0" max="19" min="19" style="1" width="11"/>
    <col collapsed="false" customWidth="true" hidden="false" outlineLevel="0" max="20" min="20" style="1" width="12"/>
  </cols>
  <sheetData>
    <row r="1" customFormat="false" ht="15" hidden="false" customHeight="true" outlineLevel="0" collapsed="false">
      <c r="A1" s="54" t="s">
        <v>298</v>
      </c>
      <c r="B1" s="15" t="s">
        <v>55</v>
      </c>
      <c r="C1" s="15" t="s">
        <v>299</v>
      </c>
      <c r="D1" s="15" t="s">
        <v>300</v>
      </c>
      <c r="E1" s="15" t="s">
        <v>223</v>
      </c>
      <c r="F1" s="15" t="s">
        <v>301</v>
      </c>
      <c r="G1" s="15" t="s">
        <v>302</v>
      </c>
      <c r="H1" s="15" t="s">
        <v>206</v>
      </c>
      <c r="I1" s="54" t="s">
        <v>303</v>
      </c>
      <c r="J1" s="15" t="s">
        <v>304</v>
      </c>
      <c r="K1" s="15" t="s">
        <v>305</v>
      </c>
      <c r="L1" s="15" t="s">
        <v>61</v>
      </c>
      <c r="M1" s="55" t="s">
        <v>306</v>
      </c>
      <c r="N1" s="55" t="s">
        <v>307</v>
      </c>
      <c r="O1" s="55" t="s">
        <v>308</v>
      </c>
      <c r="P1" s="55" t="s">
        <v>206</v>
      </c>
      <c r="Q1" s="55" t="s">
        <v>217</v>
      </c>
      <c r="R1" s="56" t="s">
        <v>309</v>
      </c>
      <c r="S1" s="56" t="s">
        <v>310</v>
      </c>
      <c r="T1" s="56" t="s">
        <v>311</v>
      </c>
    </row>
    <row r="2" customFormat="false" ht="29.25" hidden="false" customHeight="true" outlineLevel="0" collapsed="false">
      <c r="A2" s="57" t="n">
        <v>1</v>
      </c>
      <c r="B2" s="30" t="s">
        <v>94</v>
      </c>
      <c r="C2" s="30" t="s">
        <v>312</v>
      </c>
      <c r="D2" s="30" t="s">
        <v>313</v>
      </c>
      <c r="E2" s="30" t="s">
        <v>314</v>
      </c>
      <c r="F2" s="58" t="n">
        <v>46133</v>
      </c>
      <c r="G2" s="59" t="s">
        <v>315</v>
      </c>
      <c r="H2" s="30" t="s">
        <v>293</v>
      </c>
      <c r="I2" s="57" t="s">
        <v>316</v>
      </c>
      <c r="J2" s="58" t="n">
        <v>46185</v>
      </c>
      <c r="K2" s="57" t="n">
        <f aca="false">IF($F2="","",IF(AND($F2&gt;=集計!$B$1,$F2&lt;=集計!$B$2),1,0))</f>
        <v>1</v>
      </c>
      <c r="L2" s="41" t="s">
        <v>317</v>
      </c>
      <c r="M2" s="60" t="n">
        <v>46157</v>
      </c>
      <c r="N2" s="61" t="s">
        <v>318</v>
      </c>
      <c r="O2" s="62" t="s">
        <v>319</v>
      </c>
      <c r="P2" s="63" t="s">
        <v>212</v>
      </c>
      <c r="Q2" s="64" t="s">
        <v>219</v>
      </c>
    </row>
    <row r="3" customFormat="false" ht="29.25" hidden="false" customHeight="true" outlineLevel="0" collapsed="false">
      <c r="A3" s="57" t="n">
        <v>2</v>
      </c>
      <c r="B3" s="30" t="s">
        <v>94</v>
      </c>
      <c r="C3" s="30" t="s">
        <v>320</v>
      </c>
      <c r="D3" s="30" t="s">
        <v>321</v>
      </c>
      <c r="E3" s="30" t="s">
        <v>207</v>
      </c>
      <c r="F3" s="58"/>
      <c r="G3" s="65" t="s">
        <v>322</v>
      </c>
      <c r="H3" s="30" t="s">
        <v>293</v>
      </c>
      <c r="I3" s="57" t="s">
        <v>323</v>
      </c>
      <c r="J3" s="58" t="n">
        <v>46185</v>
      </c>
      <c r="K3" s="57" t="str">
        <f aca="false">IF($F3="","",IF(AND($F3&gt;=集計!$B$1,$F3&lt;=集計!$B$2),1,0))</f>
        <v/>
      </c>
      <c r="L3" s="41" t="s">
        <v>324</v>
      </c>
      <c r="M3" s="62"/>
      <c r="N3" s="66" t="s">
        <v>325</v>
      </c>
      <c r="O3" s="62" t="s">
        <v>319</v>
      </c>
      <c r="P3" s="63" t="s">
        <v>212</v>
      </c>
      <c r="Q3" s="64" t="s">
        <v>219</v>
      </c>
    </row>
    <row r="4" customFormat="false" ht="43.5" hidden="false" customHeight="true" outlineLevel="0" collapsed="false">
      <c r="A4" s="57" t="n">
        <v>3</v>
      </c>
      <c r="B4" s="30" t="s">
        <v>88</v>
      </c>
      <c r="C4" s="30" t="s">
        <v>55</v>
      </c>
      <c r="D4" s="30" t="s">
        <v>326</v>
      </c>
      <c r="E4" s="30" t="s">
        <v>207</v>
      </c>
      <c r="F4" s="58"/>
      <c r="G4" s="65" t="s">
        <v>327</v>
      </c>
      <c r="H4" s="30" t="s">
        <v>293</v>
      </c>
      <c r="I4" s="57" t="s">
        <v>328</v>
      </c>
      <c r="J4" s="58" t="n">
        <v>46185</v>
      </c>
      <c r="K4" s="57" t="str">
        <f aca="false">IF($F4="","",IF(AND($F4&gt;=集計!$B$1,$F4&lt;=集計!$B$2),1,0))</f>
        <v/>
      </c>
      <c r="L4" s="41" t="s">
        <v>329</v>
      </c>
      <c r="M4" s="62"/>
      <c r="N4" s="66" t="s">
        <v>325</v>
      </c>
      <c r="O4" s="62" t="s">
        <v>319</v>
      </c>
      <c r="P4" s="63" t="s">
        <v>212</v>
      </c>
      <c r="Q4" s="64" t="s">
        <v>219</v>
      </c>
    </row>
    <row r="5" customFormat="false" ht="29.25" hidden="false" customHeight="true" outlineLevel="0" collapsed="false">
      <c r="A5" s="57" t="n">
        <v>4</v>
      </c>
      <c r="B5" s="30" t="s">
        <v>85</v>
      </c>
      <c r="C5" s="30" t="s">
        <v>312</v>
      </c>
      <c r="D5" s="30" t="s">
        <v>330</v>
      </c>
      <c r="E5" s="30" t="s">
        <v>207</v>
      </c>
      <c r="F5" s="58"/>
      <c r="G5" s="65" t="s">
        <v>331</v>
      </c>
      <c r="H5" s="30" t="s">
        <v>293</v>
      </c>
      <c r="I5" s="57" t="s">
        <v>332</v>
      </c>
      <c r="J5" s="58" t="n">
        <v>46185</v>
      </c>
      <c r="K5" s="57" t="str">
        <f aca="false">IF($F5="","",IF(AND($F5&gt;=集計!$B$1,$F5&lt;=集計!$B$2),1,0))</f>
        <v/>
      </c>
      <c r="L5" s="41" t="s">
        <v>333</v>
      </c>
      <c r="M5" s="62"/>
      <c r="N5" s="66" t="s">
        <v>325</v>
      </c>
      <c r="O5" s="62" t="s">
        <v>319</v>
      </c>
      <c r="P5" s="63" t="s">
        <v>212</v>
      </c>
      <c r="Q5" s="64" t="s">
        <v>219</v>
      </c>
    </row>
    <row r="6" customFormat="false" ht="29.25" hidden="false" customHeight="true" outlineLevel="0" collapsed="false">
      <c r="A6" s="57" t="n">
        <v>5</v>
      </c>
      <c r="B6" s="30" t="s">
        <v>97</v>
      </c>
      <c r="C6" s="30" t="s">
        <v>55</v>
      </c>
      <c r="D6" s="30" t="s">
        <v>334</v>
      </c>
      <c r="E6" s="30" t="s">
        <v>314</v>
      </c>
      <c r="F6" s="58"/>
      <c r="G6" s="65" t="s">
        <v>335</v>
      </c>
      <c r="H6" s="30" t="s">
        <v>293</v>
      </c>
      <c r="I6" s="57" t="s">
        <v>336</v>
      </c>
      <c r="J6" s="58" t="n">
        <v>46185</v>
      </c>
      <c r="K6" s="57" t="str">
        <f aca="false">IF($F6="","",IF(AND($F6&gt;=集計!$B$1,$F6&lt;=集計!$B$2),1,0))</f>
        <v/>
      </c>
      <c r="L6" s="41" t="s">
        <v>337</v>
      </c>
      <c r="M6" s="62"/>
      <c r="N6" s="66" t="s">
        <v>325</v>
      </c>
      <c r="O6" s="62" t="s">
        <v>319</v>
      </c>
      <c r="P6" s="63" t="s">
        <v>212</v>
      </c>
      <c r="Q6" s="64" t="s">
        <v>219</v>
      </c>
    </row>
    <row r="7" customFormat="false" ht="15" hidden="false" customHeight="true" outlineLevel="0" collapsed="false">
      <c r="A7" s="57" t="n">
        <v>6</v>
      </c>
      <c r="B7" s="30" t="s">
        <v>91</v>
      </c>
      <c r="C7" s="30" t="s">
        <v>55</v>
      </c>
      <c r="D7" s="30" t="s">
        <v>338</v>
      </c>
      <c r="E7" s="30" t="s">
        <v>314</v>
      </c>
      <c r="F7" s="58"/>
      <c r="G7" s="65" t="s">
        <v>339</v>
      </c>
      <c r="H7" s="30" t="s">
        <v>296</v>
      </c>
      <c r="I7" s="57" t="s">
        <v>340</v>
      </c>
      <c r="J7" s="58" t="n">
        <v>46185</v>
      </c>
      <c r="K7" s="57" t="str">
        <f aca="false">IF($F7="","",IF(AND($F7&gt;=集計!$B$1,$F7&lt;=集計!$B$2),1,0))</f>
        <v/>
      </c>
      <c r="L7" s="41" t="s">
        <v>341</v>
      </c>
      <c r="M7" s="62"/>
      <c r="N7" s="66" t="s">
        <v>325</v>
      </c>
      <c r="O7" s="62" t="s">
        <v>319</v>
      </c>
      <c r="P7" s="63" t="s">
        <v>214</v>
      </c>
      <c r="Q7" s="64" t="s">
        <v>221</v>
      </c>
    </row>
    <row r="8" customFormat="false" ht="29.25" hidden="false" customHeight="true" outlineLevel="0" collapsed="false">
      <c r="A8" s="57" t="n">
        <v>7</v>
      </c>
      <c r="B8" s="30" t="s">
        <v>103</v>
      </c>
      <c r="C8" s="30" t="s">
        <v>55</v>
      </c>
      <c r="D8" s="30" t="s">
        <v>103</v>
      </c>
      <c r="E8" s="30" t="s">
        <v>314</v>
      </c>
      <c r="F8" s="58"/>
      <c r="G8" s="65" t="s">
        <v>342</v>
      </c>
      <c r="H8" s="30" t="s">
        <v>296</v>
      </c>
      <c r="I8" s="57" t="s">
        <v>343</v>
      </c>
      <c r="J8" s="58" t="n">
        <v>46185</v>
      </c>
      <c r="K8" s="57" t="str">
        <f aca="false">IF($F8="","",IF(AND($F8&gt;=集計!$B$1,$F8&lt;=集計!$B$2),1,0))</f>
        <v/>
      </c>
      <c r="L8" s="41" t="s">
        <v>344</v>
      </c>
      <c r="M8" s="62"/>
      <c r="N8" s="66" t="s">
        <v>325</v>
      </c>
      <c r="O8" s="62" t="s">
        <v>319</v>
      </c>
      <c r="P8" s="63" t="s">
        <v>214</v>
      </c>
      <c r="Q8" s="64" t="s">
        <v>221</v>
      </c>
    </row>
    <row r="9" customFormat="false" ht="29.25" hidden="false" customHeight="true" outlineLevel="0" collapsed="false">
      <c r="A9" s="57" t="n">
        <v>8</v>
      </c>
      <c r="B9" s="30" t="s">
        <v>142</v>
      </c>
      <c r="C9" s="30" t="s">
        <v>55</v>
      </c>
      <c r="D9" s="30" t="s">
        <v>345</v>
      </c>
      <c r="E9" s="30" t="s">
        <v>314</v>
      </c>
      <c r="F9" s="58"/>
      <c r="G9" s="65" t="s">
        <v>346</v>
      </c>
      <c r="H9" s="30" t="s">
        <v>293</v>
      </c>
      <c r="I9" s="57" t="s">
        <v>347</v>
      </c>
      <c r="J9" s="58" t="n">
        <v>46185</v>
      </c>
      <c r="K9" s="57" t="str">
        <f aca="false">IF($F9="","",IF(AND($F9&gt;=集計!$B$1,$F9&lt;=集計!$B$2),1,0))</f>
        <v/>
      </c>
      <c r="L9" s="41" t="s">
        <v>348</v>
      </c>
      <c r="M9" s="62"/>
      <c r="N9" s="66" t="s">
        <v>325</v>
      </c>
      <c r="O9" s="62" t="s">
        <v>319</v>
      </c>
      <c r="P9" s="63" t="s">
        <v>212</v>
      </c>
      <c r="Q9" s="64" t="s">
        <v>219</v>
      </c>
    </row>
    <row r="10" customFormat="false" ht="29.25" hidden="false" customHeight="true" outlineLevel="0" collapsed="false">
      <c r="A10" s="57" t="n">
        <v>9</v>
      </c>
      <c r="B10" s="30" t="s">
        <v>139</v>
      </c>
      <c r="C10" s="30" t="s">
        <v>312</v>
      </c>
      <c r="D10" s="30" t="s">
        <v>349</v>
      </c>
      <c r="E10" s="30" t="s">
        <v>314</v>
      </c>
      <c r="F10" s="58"/>
      <c r="G10" s="65" t="s">
        <v>350</v>
      </c>
      <c r="H10" s="30" t="s">
        <v>296</v>
      </c>
      <c r="I10" s="57" t="s">
        <v>351</v>
      </c>
      <c r="J10" s="58" t="n">
        <v>46185</v>
      </c>
      <c r="K10" s="57" t="str">
        <f aca="false">IF($F10="","",IF(AND($F10&gt;=集計!$B$1,$F10&lt;=集計!$B$2),1,0))</f>
        <v/>
      </c>
      <c r="L10" s="41" t="s">
        <v>352</v>
      </c>
      <c r="M10" s="62"/>
      <c r="N10" s="66" t="s">
        <v>325</v>
      </c>
      <c r="O10" s="62" t="s">
        <v>319</v>
      </c>
      <c r="P10" s="63" t="s">
        <v>214</v>
      </c>
      <c r="Q10" s="64" t="s">
        <v>221</v>
      </c>
    </row>
    <row r="11" customFormat="false" ht="29.25" hidden="false" customHeight="true" outlineLevel="0" collapsed="false">
      <c r="A11" s="57" t="n">
        <v>10</v>
      </c>
      <c r="B11" s="30" t="s">
        <v>145</v>
      </c>
      <c r="C11" s="30" t="s">
        <v>55</v>
      </c>
      <c r="D11" s="30" t="s">
        <v>145</v>
      </c>
      <c r="E11" s="30" t="s">
        <v>207</v>
      </c>
      <c r="F11" s="58"/>
      <c r="G11" s="65" t="s">
        <v>353</v>
      </c>
      <c r="H11" s="30" t="s">
        <v>295</v>
      </c>
      <c r="I11" s="57" t="s">
        <v>354</v>
      </c>
      <c r="J11" s="58" t="n">
        <v>46185</v>
      </c>
      <c r="K11" s="57" t="str">
        <f aca="false">IF($F11="","",IF(AND($F11&gt;=集計!$B$1,$F11&lt;=集計!$B$2),1,0))</f>
        <v/>
      </c>
      <c r="L11" s="41" t="s">
        <v>355</v>
      </c>
      <c r="M11" s="62"/>
      <c r="N11" s="66" t="s">
        <v>325</v>
      </c>
      <c r="O11" s="62" t="s">
        <v>319</v>
      </c>
      <c r="P11" s="63" t="s">
        <v>210</v>
      </c>
      <c r="Q11" s="64" t="s">
        <v>221</v>
      </c>
    </row>
    <row r="12" customFormat="false" ht="29.25" hidden="false" customHeight="true" outlineLevel="0" collapsed="false">
      <c r="A12" s="57" t="n">
        <v>11</v>
      </c>
      <c r="B12" s="30" t="s">
        <v>145</v>
      </c>
      <c r="C12" s="30" t="s">
        <v>296</v>
      </c>
      <c r="D12" s="30" t="s">
        <v>356</v>
      </c>
      <c r="E12" s="30" t="s">
        <v>207</v>
      </c>
      <c r="F12" s="58"/>
      <c r="G12" s="65" t="s">
        <v>357</v>
      </c>
      <c r="H12" s="30" t="s">
        <v>293</v>
      </c>
      <c r="I12" s="57" t="s">
        <v>358</v>
      </c>
      <c r="J12" s="58" t="n">
        <v>46185</v>
      </c>
      <c r="K12" s="57" t="str">
        <f aca="false">IF($F12="","",IF(AND($F12&gt;=集計!$B$1,$F12&lt;=集計!$B$2),1,0))</f>
        <v/>
      </c>
      <c r="L12" s="41" t="s">
        <v>359</v>
      </c>
      <c r="M12" s="62"/>
      <c r="N12" s="66" t="s">
        <v>325</v>
      </c>
      <c r="O12" s="62" t="s">
        <v>319</v>
      </c>
      <c r="P12" s="63" t="s">
        <v>212</v>
      </c>
      <c r="Q12" s="64" t="s">
        <v>219</v>
      </c>
    </row>
    <row r="13" customFormat="false" ht="29.25" hidden="false" customHeight="true" outlineLevel="0" collapsed="false">
      <c r="A13" s="57" t="n">
        <v>12</v>
      </c>
      <c r="B13" s="30" t="s">
        <v>136</v>
      </c>
      <c r="C13" s="30" t="s">
        <v>55</v>
      </c>
      <c r="D13" s="30" t="s">
        <v>360</v>
      </c>
      <c r="E13" s="30" t="s">
        <v>314</v>
      </c>
      <c r="F13" s="58" t="n">
        <v>46183</v>
      </c>
      <c r="G13" s="65" t="s">
        <v>361</v>
      </c>
      <c r="H13" s="30" t="s">
        <v>293</v>
      </c>
      <c r="I13" s="57" t="s">
        <v>362</v>
      </c>
      <c r="J13" s="58" t="n">
        <v>46185</v>
      </c>
      <c r="K13" s="57" t="n">
        <f aca="false">IF($F13="","",IF(AND($F13&gt;=集計!$B$1,$F13&lt;=集計!$B$2),1,0))</f>
        <v>1</v>
      </c>
      <c r="L13" s="41" t="s">
        <v>363</v>
      </c>
      <c r="M13" s="60" t="n">
        <v>46190</v>
      </c>
      <c r="N13" s="61" t="s">
        <v>318</v>
      </c>
      <c r="O13" s="62" t="s">
        <v>319</v>
      </c>
      <c r="P13" s="63" t="s">
        <v>212</v>
      </c>
      <c r="Q13" s="64" t="s">
        <v>219</v>
      </c>
    </row>
    <row r="14" customFormat="false" ht="15" hidden="false" customHeight="true" outlineLevel="0" collapsed="false">
      <c r="A14" s="57" t="n">
        <v>13</v>
      </c>
      <c r="B14" s="30" t="s">
        <v>148</v>
      </c>
      <c r="C14" s="30" t="s">
        <v>312</v>
      </c>
      <c r="D14" s="30" t="s">
        <v>364</v>
      </c>
      <c r="E14" s="30" t="s">
        <v>314</v>
      </c>
      <c r="F14" s="58"/>
      <c r="G14" s="65" t="s">
        <v>365</v>
      </c>
      <c r="H14" s="30" t="s">
        <v>293</v>
      </c>
      <c r="I14" s="57" t="s">
        <v>366</v>
      </c>
      <c r="J14" s="58" t="n">
        <v>46185</v>
      </c>
      <c r="K14" s="57" t="str">
        <f aca="false">IF($F14="","",IF(AND($F14&gt;=集計!$B$1,$F14&lt;=集計!$B$2),1,0))</f>
        <v/>
      </c>
      <c r="L14" s="41" t="s">
        <v>367</v>
      </c>
      <c r="M14" s="62"/>
      <c r="N14" s="66" t="s">
        <v>325</v>
      </c>
      <c r="O14" s="62" t="s">
        <v>319</v>
      </c>
      <c r="P14" s="63" t="s">
        <v>212</v>
      </c>
      <c r="Q14" s="64" t="s">
        <v>219</v>
      </c>
    </row>
    <row r="15" customFormat="false" ht="15" hidden="false" customHeight="true" outlineLevel="0" collapsed="false">
      <c r="A15" s="57" t="n">
        <v>14</v>
      </c>
      <c r="B15" s="30" t="s">
        <v>151</v>
      </c>
      <c r="C15" s="30" t="s">
        <v>55</v>
      </c>
      <c r="D15" s="30" t="s">
        <v>151</v>
      </c>
      <c r="E15" s="30" t="s">
        <v>314</v>
      </c>
      <c r="F15" s="58"/>
      <c r="G15" s="65" t="s">
        <v>368</v>
      </c>
      <c r="H15" s="30" t="s">
        <v>296</v>
      </c>
      <c r="I15" s="57" t="s">
        <v>152</v>
      </c>
      <c r="J15" s="58" t="n">
        <v>46185</v>
      </c>
      <c r="K15" s="57" t="str">
        <f aca="false">IF($F15="","",IF(AND($F15&gt;=集計!$B$1,$F15&lt;=集計!$B$2),1,0))</f>
        <v/>
      </c>
      <c r="L15" s="41" t="s">
        <v>369</v>
      </c>
      <c r="M15" s="62"/>
      <c r="N15" s="66" t="s">
        <v>325</v>
      </c>
      <c r="O15" s="62" t="s">
        <v>319</v>
      </c>
      <c r="P15" s="63" t="s">
        <v>214</v>
      </c>
      <c r="Q15" s="64" t="s">
        <v>221</v>
      </c>
    </row>
    <row r="16" customFormat="false" ht="15" hidden="false" customHeight="true" outlineLevel="0" collapsed="false">
      <c r="A16" s="57" t="n">
        <v>15</v>
      </c>
      <c r="B16" s="30" t="s">
        <v>130</v>
      </c>
      <c r="C16" s="30" t="s">
        <v>55</v>
      </c>
      <c r="D16" s="30" t="s">
        <v>370</v>
      </c>
      <c r="E16" s="30" t="s">
        <v>314</v>
      </c>
      <c r="F16" s="58"/>
      <c r="G16" s="65" t="s">
        <v>371</v>
      </c>
      <c r="H16" s="30" t="s">
        <v>293</v>
      </c>
      <c r="I16" s="57" t="s">
        <v>372</v>
      </c>
      <c r="J16" s="58" t="n">
        <v>46185</v>
      </c>
      <c r="K16" s="57" t="str">
        <f aca="false">IF($F16="","",IF(AND($F16&gt;=集計!$B$1,$F16&lt;=集計!$B$2),1,0))</f>
        <v/>
      </c>
      <c r="L16" s="41" t="s">
        <v>373</v>
      </c>
      <c r="M16" s="62"/>
      <c r="N16" s="66" t="s">
        <v>325</v>
      </c>
      <c r="O16" s="62" t="s">
        <v>319</v>
      </c>
      <c r="P16" s="63" t="s">
        <v>212</v>
      </c>
      <c r="Q16" s="64" t="s">
        <v>219</v>
      </c>
    </row>
    <row r="17" customFormat="false" ht="15" hidden="false" customHeight="true" outlineLevel="0" collapsed="false">
      <c r="A17" s="57" t="n">
        <v>16</v>
      </c>
      <c r="B17" s="30" t="s">
        <v>124</v>
      </c>
      <c r="C17" s="30" t="s">
        <v>55</v>
      </c>
      <c r="D17" s="30" t="s">
        <v>374</v>
      </c>
      <c r="E17" s="30" t="s">
        <v>207</v>
      </c>
      <c r="F17" s="58"/>
      <c r="G17" s="65" t="s">
        <v>375</v>
      </c>
      <c r="H17" s="30" t="s">
        <v>294</v>
      </c>
      <c r="I17" s="57" t="s">
        <v>376</v>
      </c>
      <c r="J17" s="58" t="n">
        <v>46185</v>
      </c>
      <c r="K17" s="57" t="str">
        <f aca="false">IF($F17="","",IF(AND($F17&gt;=集計!$B$1,$F17&lt;=集計!$B$2),1,0))</f>
        <v/>
      </c>
      <c r="L17" s="41" t="s">
        <v>377</v>
      </c>
      <c r="M17" s="62"/>
      <c r="N17" s="66" t="s">
        <v>325</v>
      </c>
      <c r="O17" s="62" t="s">
        <v>319</v>
      </c>
      <c r="P17" s="63" t="s">
        <v>213</v>
      </c>
      <c r="Q17" s="64" t="s">
        <v>219</v>
      </c>
    </row>
    <row r="18" customFormat="false" ht="15" hidden="false" customHeight="true" outlineLevel="0" collapsed="false">
      <c r="A18" s="57" t="n">
        <v>17</v>
      </c>
      <c r="B18" s="30" t="s">
        <v>133</v>
      </c>
      <c r="C18" s="30" t="s">
        <v>55</v>
      </c>
      <c r="D18" s="30" t="s">
        <v>133</v>
      </c>
      <c r="E18" s="30" t="s">
        <v>314</v>
      </c>
      <c r="F18" s="58"/>
      <c r="G18" s="65" t="s">
        <v>368</v>
      </c>
      <c r="H18" s="30" t="s">
        <v>296</v>
      </c>
      <c r="I18" s="57" t="s">
        <v>134</v>
      </c>
      <c r="J18" s="58" t="n">
        <v>46185</v>
      </c>
      <c r="K18" s="57" t="str">
        <f aca="false">IF($F18="","",IF(AND($F18&gt;=集計!$B$1,$F18&lt;=集計!$B$2),1,0))</f>
        <v/>
      </c>
      <c r="L18" s="41" t="s">
        <v>369</v>
      </c>
      <c r="M18" s="62"/>
      <c r="N18" s="66" t="s">
        <v>325</v>
      </c>
      <c r="O18" s="62" t="s">
        <v>319</v>
      </c>
      <c r="P18" s="63" t="s">
        <v>214</v>
      </c>
      <c r="Q18" s="64" t="s">
        <v>221</v>
      </c>
    </row>
    <row r="19" customFormat="false" ht="15" hidden="false" customHeight="true" outlineLevel="0" collapsed="false">
      <c r="A19" s="57" t="n">
        <v>18</v>
      </c>
      <c r="B19" s="30" t="s">
        <v>127</v>
      </c>
      <c r="C19" s="30" t="s">
        <v>312</v>
      </c>
      <c r="D19" s="30" t="s">
        <v>378</v>
      </c>
      <c r="E19" s="30" t="s">
        <v>314</v>
      </c>
      <c r="F19" s="58"/>
      <c r="G19" s="65" t="s">
        <v>379</v>
      </c>
      <c r="H19" s="30" t="s">
        <v>292</v>
      </c>
      <c r="I19" s="57" t="s">
        <v>380</v>
      </c>
      <c r="J19" s="58" t="n">
        <v>46185</v>
      </c>
      <c r="K19" s="57" t="str">
        <f aca="false">IF($F19="","",IF(AND($F19&gt;=集計!$B$1,$F19&lt;=集計!$B$2),1,0))</f>
        <v/>
      </c>
      <c r="L19" s="41" t="s">
        <v>381</v>
      </c>
      <c r="M19" s="62"/>
      <c r="N19" s="66" t="s">
        <v>325</v>
      </c>
      <c r="O19" s="62" t="s">
        <v>319</v>
      </c>
      <c r="P19" s="63" t="s">
        <v>212</v>
      </c>
      <c r="Q19" s="64" t="s">
        <v>219</v>
      </c>
    </row>
    <row r="20" customFormat="false" ht="15" hidden="false" customHeight="true" outlineLevel="0" collapsed="false">
      <c r="A20" s="57" t="n">
        <v>19</v>
      </c>
      <c r="B20" s="30" t="s">
        <v>62</v>
      </c>
      <c r="C20" s="30" t="s">
        <v>55</v>
      </c>
      <c r="D20" s="30" t="s">
        <v>382</v>
      </c>
      <c r="E20" s="30" t="s">
        <v>207</v>
      </c>
      <c r="F20" s="58"/>
      <c r="G20" s="65" t="s">
        <v>383</v>
      </c>
      <c r="H20" s="30" t="s">
        <v>292</v>
      </c>
      <c r="I20" s="57" t="s">
        <v>384</v>
      </c>
      <c r="J20" s="58" t="n">
        <v>46185</v>
      </c>
      <c r="K20" s="57" t="str">
        <f aca="false">IF($F20="","",IF(AND($F20&gt;=集計!$B$1,$F20&lt;=集計!$B$2),1,0))</f>
        <v/>
      </c>
      <c r="L20" s="41" t="s">
        <v>385</v>
      </c>
      <c r="M20" s="62"/>
      <c r="N20" s="66" t="s">
        <v>325</v>
      </c>
      <c r="O20" s="62" t="s">
        <v>319</v>
      </c>
      <c r="P20" s="63" t="s">
        <v>212</v>
      </c>
      <c r="Q20" s="64" t="s">
        <v>219</v>
      </c>
    </row>
    <row r="21" customFormat="false" ht="15" hidden="false" customHeight="true" outlineLevel="0" collapsed="false">
      <c r="A21" s="57" t="n">
        <v>20</v>
      </c>
      <c r="B21" s="30" t="s">
        <v>67</v>
      </c>
      <c r="C21" s="30" t="s">
        <v>55</v>
      </c>
      <c r="D21" s="30" t="s">
        <v>386</v>
      </c>
      <c r="E21" s="30" t="s">
        <v>314</v>
      </c>
      <c r="F21" s="58"/>
      <c r="G21" s="65" t="s">
        <v>387</v>
      </c>
      <c r="H21" s="30" t="s">
        <v>293</v>
      </c>
      <c r="I21" s="57" t="s">
        <v>388</v>
      </c>
      <c r="J21" s="58" t="n">
        <v>46185</v>
      </c>
      <c r="K21" s="57" t="str">
        <f aca="false">IF($F21="","",IF(AND($F21&gt;=集計!$B$1,$F21&lt;=集計!$B$2),1,0))</f>
        <v/>
      </c>
      <c r="L21" s="41" t="s">
        <v>389</v>
      </c>
      <c r="M21" s="62"/>
      <c r="N21" s="66" t="s">
        <v>325</v>
      </c>
      <c r="O21" s="62" t="s">
        <v>319</v>
      </c>
      <c r="P21" s="63" t="s">
        <v>212</v>
      </c>
      <c r="Q21" s="64" t="s">
        <v>219</v>
      </c>
    </row>
    <row r="22" customFormat="false" ht="15" hidden="false" customHeight="true" outlineLevel="0" collapsed="false">
      <c r="A22" s="57" t="n">
        <v>21</v>
      </c>
      <c r="B22" s="30" t="s">
        <v>70</v>
      </c>
      <c r="C22" s="30" t="s">
        <v>55</v>
      </c>
      <c r="D22" s="30" t="s">
        <v>390</v>
      </c>
      <c r="E22" s="30" t="s">
        <v>207</v>
      </c>
      <c r="F22" s="58"/>
      <c r="G22" s="65" t="s">
        <v>391</v>
      </c>
      <c r="H22" s="30" t="s">
        <v>293</v>
      </c>
      <c r="I22" s="57" t="s">
        <v>392</v>
      </c>
      <c r="J22" s="58" t="n">
        <v>46185</v>
      </c>
      <c r="K22" s="57" t="str">
        <f aca="false">IF($F22="","",IF(AND($F22&gt;=集計!$B$1,$F22&lt;=集計!$B$2),1,0))</f>
        <v/>
      </c>
      <c r="L22" s="41" t="s">
        <v>393</v>
      </c>
      <c r="M22" s="62"/>
      <c r="N22" s="66" t="s">
        <v>325</v>
      </c>
      <c r="O22" s="62" t="s">
        <v>319</v>
      </c>
      <c r="P22" s="63" t="s">
        <v>212</v>
      </c>
      <c r="Q22" s="64" t="s">
        <v>219</v>
      </c>
    </row>
    <row r="23" customFormat="false" ht="15" hidden="false" customHeight="true" outlineLevel="0" collapsed="false">
      <c r="A23" s="57" t="n">
        <v>22</v>
      </c>
      <c r="B23" s="30" t="s">
        <v>73</v>
      </c>
      <c r="C23" s="30" t="s">
        <v>55</v>
      </c>
      <c r="D23" s="30" t="s">
        <v>394</v>
      </c>
      <c r="E23" s="30" t="s">
        <v>207</v>
      </c>
      <c r="F23" s="58" t="n">
        <v>46154</v>
      </c>
      <c r="G23" s="65" t="s">
        <v>395</v>
      </c>
      <c r="H23" s="30" t="s">
        <v>292</v>
      </c>
      <c r="I23" s="57" t="s">
        <v>396</v>
      </c>
      <c r="J23" s="58" t="n">
        <v>46185</v>
      </c>
      <c r="K23" s="57" t="n">
        <f aca="false">IF($F23="","",IF(AND($F23&gt;=集計!$B$1,$F23&lt;=集計!$B$2),1,0))</f>
        <v>1</v>
      </c>
      <c r="L23" s="41" t="s">
        <v>397</v>
      </c>
      <c r="M23" s="62"/>
      <c r="N23" s="61" t="s">
        <v>318</v>
      </c>
      <c r="O23" s="62" t="s">
        <v>319</v>
      </c>
      <c r="P23" s="63" t="s">
        <v>212</v>
      </c>
      <c r="Q23" s="64" t="s">
        <v>219</v>
      </c>
    </row>
    <row r="24" customFormat="false" ht="15" hidden="false" customHeight="true" outlineLevel="0" collapsed="false">
      <c r="A24" s="57" t="n">
        <v>23</v>
      </c>
      <c r="B24" s="30" t="s">
        <v>76</v>
      </c>
      <c r="C24" s="30" t="s">
        <v>55</v>
      </c>
      <c r="D24" s="30" t="s">
        <v>398</v>
      </c>
      <c r="E24" s="30" t="s">
        <v>207</v>
      </c>
      <c r="F24" s="58"/>
      <c r="G24" s="65" t="s">
        <v>399</v>
      </c>
      <c r="H24" s="30" t="s">
        <v>293</v>
      </c>
      <c r="I24" s="57" t="s">
        <v>400</v>
      </c>
      <c r="J24" s="58" t="n">
        <v>46185</v>
      </c>
      <c r="K24" s="57" t="str">
        <f aca="false">IF($F24="","",IF(AND($F24&gt;=集計!$B$1,$F24&lt;=集計!$B$2),1,0))</f>
        <v/>
      </c>
      <c r="L24" s="41" t="s">
        <v>401</v>
      </c>
      <c r="M24" s="62"/>
      <c r="N24" s="66" t="s">
        <v>325</v>
      </c>
      <c r="O24" s="62" t="s">
        <v>319</v>
      </c>
      <c r="P24" s="63" t="s">
        <v>212</v>
      </c>
      <c r="Q24" s="64" t="s">
        <v>219</v>
      </c>
    </row>
    <row r="25" customFormat="false" ht="15" hidden="false" customHeight="true" outlineLevel="0" collapsed="false">
      <c r="A25" s="57" t="n">
        <v>24</v>
      </c>
      <c r="B25" s="30" t="s">
        <v>79</v>
      </c>
      <c r="C25" s="30" t="s">
        <v>312</v>
      </c>
      <c r="D25" s="30" t="s">
        <v>402</v>
      </c>
      <c r="E25" s="30" t="s">
        <v>207</v>
      </c>
      <c r="F25" s="58"/>
      <c r="G25" s="65" t="s">
        <v>403</v>
      </c>
      <c r="H25" s="30" t="s">
        <v>294</v>
      </c>
      <c r="I25" s="57" t="s">
        <v>404</v>
      </c>
      <c r="J25" s="58" t="n">
        <v>46185</v>
      </c>
      <c r="K25" s="57" t="str">
        <f aca="false">IF($F25="","",IF(AND($F25&gt;=集計!$B$1,$F25&lt;=集計!$B$2),1,0))</f>
        <v/>
      </c>
      <c r="L25" s="41" t="s">
        <v>405</v>
      </c>
      <c r="M25" s="62"/>
      <c r="N25" s="66" t="s">
        <v>325</v>
      </c>
      <c r="O25" s="62" t="s">
        <v>319</v>
      </c>
      <c r="P25" s="63" t="s">
        <v>213</v>
      </c>
      <c r="Q25" s="64" t="s">
        <v>219</v>
      </c>
    </row>
    <row r="26" customFormat="false" ht="15" hidden="false" customHeight="true" outlineLevel="0" collapsed="false">
      <c r="A26" s="57" t="n">
        <v>25</v>
      </c>
      <c r="B26" s="30" t="s">
        <v>82</v>
      </c>
      <c r="C26" s="30" t="s">
        <v>55</v>
      </c>
      <c r="D26" s="30" t="s">
        <v>406</v>
      </c>
      <c r="E26" s="30" t="s">
        <v>207</v>
      </c>
      <c r="F26" s="58"/>
      <c r="G26" s="65" t="s">
        <v>407</v>
      </c>
      <c r="H26" s="30" t="s">
        <v>292</v>
      </c>
      <c r="I26" s="57" t="s">
        <v>408</v>
      </c>
      <c r="J26" s="58" t="n">
        <v>46185</v>
      </c>
      <c r="K26" s="57" t="str">
        <f aca="false">IF($F26="","",IF(AND($F26&gt;=集計!$B$1,$F26&lt;=集計!$B$2),1,0))</f>
        <v/>
      </c>
      <c r="L26" s="41" t="s">
        <v>409</v>
      </c>
      <c r="M26" s="62"/>
      <c r="N26" s="66" t="s">
        <v>325</v>
      </c>
      <c r="O26" s="62" t="s">
        <v>319</v>
      </c>
      <c r="P26" s="63" t="s">
        <v>212</v>
      </c>
      <c r="Q26" s="64" t="s">
        <v>219</v>
      </c>
    </row>
    <row r="27" customFormat="false" ht="15" hidden="false" customHeight="true" outlineLevel="0" collapsed="false">
      <c r="A27" s="57" t="n">
        <v>26</v>
      </c>
      <c r="B27" s="30" t="s">
        <v>106</v>
      </c>
      <c r="C27" s="30" t="s">
        <v>55</v>
      </c>
      <c r="D27" s="30" t="s">
        <v>410</v>
      </c>
      <c r="E27" s="30" t="s">
        <v>207</v>
      </c>
      <c r="F27" s="58"/>
      <c r="G27" s="65" t="s">
        <v>411</v>
      </c>
      <c r="H27" s="30" t="s">
        <v>293</v>
      </c>
      <c r="I27" s="57" t="s">
        <v>412</v>
      </c>
      <c r="J27" s="58" t="n">
        <v>46185</v>
      </c>
      <c r="K27" s="57" t="str">
        <f aca="false">IF($F27="","",IF(AND($F27&gt;=集計!$B$1,$F27&lt;=集計!$B$2),1,0))</f>
        <v/>
      </c>
      <c r="L27" s="41" t="s">
        <v>413</v>
      </c>
      <c r="M27" s="62"/>
      <c r="N27" s="66" t="s">
        <v>325</v>
      </c>
      <c r="O27" s="62" t="s">
        <v>319</v>
      </c>
      <c r="P27" s="63" t="s">
        <v>212</v>
      </c>
      <c r="Q27" s="64" t="s">
        <v>219</v>
      </c>
    </row>
    <row r="28" customFormat="false" ht="15" hidden="false" customHeight="true" outlineLevel="0" collapsed="false">
      <c r="A28" s="57" t="n">
        <v>27</v>
      </c>
      <c r="B28" s="30" t="s">
        <v>109</v>
      </c>
      <c r="C28" s="30" t="s">
        <v>312</v>
      </c>
      <c r="D28" s="30" t="s">
        <v>414</v>
      </c>
      <c r="E28" s="30" t="s">
        <v>207</v>
      </c>
      <c r="F28" s="58"/>
      <c r="G28" s="65" t="s">
        <v>415</v>
      </c>
      <c r="H28" s="30" t="s">
        <v>292</v>
      </c>
      <c r="I28" s="57" t="s">
        <v>416</v>
      </c>
      <c r="J28" s="58" t="n">
        <v>46185</v>
      </c>
      <c r="K28" s="57" t="str">
        <f aca="false">IF($F28="","",IF(AND($F28&gt;=集計!$B$1,$F28&lt;=集計!$B$2),1,0))</f>
        <v/>
      </c>
      <c r="L28" s="41" t="s">
        <v>417</v>
      </c>
      <c r="M28" s="62"/>
      <c r="N28" s="66" t="s">
        <v>325</v>
      </c>
      <c r="O28" s="62" t="s">
        <v>319</v>
      </c>
      <c r="P28" s="63" t="s">
        <v>212</v>
      </c>
      <c r="Q28" s="64" t="s">
        <v>219</v>
      </c>
    </row>
    <row r="29" customFormat="false" ht="15" hidden="false" customHeight="true" outlineLevel="0" collapsed="false">
      <c r="A29" s="57" t="n">
        <v>28</v>
      </c>
      <c r="B29" s="30" t="s">
        <v>112</v>
      </c>
      <c r="C29" s="30" t="s">
        <v>55</v>
      </c>
      <c r="D29" s="30" t="s">
        <v>112</v>
      </c>
      <c r="E29" s="30" t="s">
        <v>314</v>
      </c>
      <c r="F29" s="58"/>
      <c r="G29" s="65" t="s">
        <v>368</v>
      </c>
      <c r="H29" s="30" t="s">
        <v>296</v>
      </c>
      <c r="I29" s="57" t="s">
        <v>113</v>
      </c>
      <c r="J29" s="58" t="n">
        <v>46185</v>
      </c>
      <c r="K29" s="57" t="str">
        <f aca="false">IF($F29="","",IF(AND($F29&gt;=集計!$B$1,$F29&lt;=集計!$B$2),1,0))</f>
        <v/>
      </c>
      <c r="L29" s="41" t="s">
        <v>418</v>
      </c>
      <c r="M29" s="62"/>
      <c r="N29" s="66" t="s">
        <v>325</v>
      </c>
      <c r="O29" s="62" t="s">
        <v>319</v>
      </c>
      <c r="P29" s="63" t="s">
        <v>214</v>
      </c>
      <c r="Q29" s="64" t="s">
        <v>221</v>
      </c>
    </row>
    <row r="30" customFormat="false" ht="15" hidden="false" customHeight="true" outlineLevel="0" collapsed="false">
      <c r="A30" s="57" t="n">
        <v>29</v>
      </c>
      <c r="B30" s="30" t="s">
        <v>115</v>
      </c>
      <c r="C30" s="30" t="s">
        <v>55</v>
      </c>
      <c r="D30" s="30" t="s">
        <v>115</v>
      </c>
      <c r="E30" s="30" t="s">
        <v>207</v>
      </c>
      <c r="F30" s="58"/>
      <c r="G30" s="65" t="s">
        <v>419</v>
      </c>
      <c r="H30" s="30" t="s">
        <v>293</v>
      </c>
      <c r="I30" s="57" t="s">
        <v>420</v>
      </c>
      <c r="J30" s="58" t="n">
        <v>46185</v>
      </c>
      <c r="K30" s="57" t="str">
        <f aca="false">IF($F30="","",IF(AND($F30&gt;=集計!$B$1,$F30&lt;=集計!$B$2),1,0))</f>
        <v/>
      </c>
      <c r="L30" s="41" t="s">
        <v>421</v>
      </c>
      <c r="M30" s="62"/>
      <c r="N30" s="66" t="s">
        <v>325</v>
      </c>
      <c r="O30" s="62" t="s">
        <v>319</v>
      </c>
      <c r="P30" s="63" t="s">
        <v>212</v>
      </c>
      <c r="Q30" s="64" t="s">
        <v>219</v>
      </c>
    </row>
    <row r="31" customFormat="false" ht="15" hidden="false" customHeight="true" outlineLevel="0" collapsed="false">
      <c r="A31" s="57" t="n">
        <v>30</v>
      </c>
      <c r="B31" s="30" t="s">
        <v>118</v>
      </c>
      <c r="C31" s="30" t="s">
        <v>55</v>
      </c>
      <c r="D31" s="30" t="s">
        <v>118</v>
      </c>
      <c r="E31" s="30" t="s">
        <v>314</v>
      </c>
      <c r="F31" s="58"/>
      <c r="G31" s="65" t="s">
        <v>368</v>
      </c>
      <c r="H31" s="30" t="s">
        <v>296</v>
      </c>
      <c r="I31" s="57" t="s">
        <v>119</v>
      </c>
      <c r="J31" s="58" t="n">
        <v>46185</v>
      </c>
      <c r="K31" s="57" t="str">
        <f aca="false">IF($F31="","",IF(AND($F31&gt;=集計!$B$1,$F31&lt;=集計!$B$2),1,0))</f>
        <v/>
      </c>
      <c r="L31" s="41" t="s">
        <v>422</v>
      </c>
      <c r="M31" s="62"/>
      <c r="N31" s="66" t="s">
        <v>325</v>
      </c>
      <c r="O31" s="62" t="s">
        <v>319</v>
      </c>
      <c r="P31" s="63" t="s">
        <v>214</v>
      </c>
      <c r="Q31" s="64" t="s">
        <v>221</v>
      </c>
    </row>
    <row r="32" customFormat="false" ht="15" hidden="false" customHeight="true" outlineLevel="0" collapsed="false">
      <c r="A32" s="57" t="n">
        <v>31</v>
      </c>
      <c r="B32" s="30" t="s">
        <v>121</v>
      </c>
      <c r="C32" s="30" t="s">
        <v>55</v>
      </c>
      <c r="D32" s="30" t="s">
        <v>121</v>
      </c>
      <c r="E32" s="30" t="s">
        <v>314</v>
      </c>
      <c r="F32" s="58"/>
      <c r="G32" s="65" t="s">
        <v>368</v>
      </c>
      <c r="H32" s="30" t="s">
        <v>296</v>
      </c>
      <c r="I32" s="57" t="s">
        <v>122</v>
      </c>
      <c r="J32" s="58" t="n">
        <v>46185</v>
      </c>
      <c r="K32" s="57" t="str">
        <f aca="false">IF($F32="","",IF(AND($F32&gt;=集計!$B$1,$F32&lt;=集計!$B$2),1,0))</f>
        <v/>
      </c>
      <c r="L32" s="41" t="s">
        <v>423</v>
      </c>
      <c r="M32" s="62"/>
      <c r="N32" s="66" t="s">
        <v>325</v>
      </c>
      <c r="O32" s="62" t="s">
        <v>319</v>
      </c>
      <c r="P32" s="63" t="s">
        <v>214</v>
      </c>
      <c r="Q32" s="64" t="s">
        <v>221</v>
      </c>
    </row>
    <row r="33" customFormat="false" ht="15" hidden="false" customHeight="true" outlineLevel="0" collapsed="false">
      <c r="A33" s="57" t="n">
        <v>32</v>
      </c>
      <c r="B33" s="30" t="s">
        <v>154</v>
      </c>
      <c r="C33" s="30" t="s">
        <v>55</v>
      </c>
      <c r="D33" s="30" t="s">
        <v>154</v>
      </c>
      <c r="E33" s="30" t="s">
        <v>314</v>
      </c>
      <c r="F33" s="58"/>
      <c r="G33" s="65" t="s">
        <v>368</v>
      </c>
      <c r="H33" s="30" t="s">
        <v>296</v>
      </c>
      <c r="I33" s="57" t="s">
        <v>155</v>
      </c>
      <c r="J33" s="58" t="n">
        <v>46185</v>
      </c>
      <c r="K33" s="57" t="str">
        <f aca="false">IF($F33="","",IF(AND($F33&gt;=集計!$B$1,$F33&lt;=集計!$B$2),1,0))</f>
        <v/>
      </c>
      <c r="L33" s="41" t="s">
        <v>423</v>
      </c>
      <c r="M33" s="62"/>
      <c r="N33" s="66" t="s">
        <v>325</v>
      </c>
      <c r="O33" s="62" t="s">
        <v>319</v>
      </c>
      <c r="P33" s="63" t="s">
        <v>214</v>
      </c>
      <c r="Q33" s="64" t="s">
        <v>221</v>
      </c>
    </row>
    <row r="34" customFormat="false" ht="15" hidden="false" customHeight="true" outlineLevel="0" collapsed="false">
      <c r="A34" s="57" t="n">
        <v>33</v>
      </c>
      <c r="B34" s="30" t="s">
        <v>157</v>
      </c>
      <c r="C34" s="30" t="s">
        <v>55</v>
      </c>
      <c r="D34" s="30" t="s">
        <v>157</v>
      </c>
      <c r="E34" s="30" t="s">
        <v>314</v>
      </c>
      <c r="F34" s="58"/>
      <c r="G34" s="65" t="s">
        <v>368</v>
      </c>
      <c r="H34" s="30" t="s">
        <v>296</v>
      </c>
      <c r="I34" s="57" t="s">
        <v>158</v>
      </c>
      <c r="J34" s="58" t="n">
        <v>46185</v>
      </c>
      <c r="K34" s="57" t="str">
        <f aca="false">IF($F34="","",IF(AND($F34&gt;=集計!$B$1,$F34&lt;=集計!$B$2),1,0))</f>
        <v/>
      </c>
      <c r="L34" s="41" t="s">
        <v>424</v>
      </c>
      <c r="M34" s="62"/>
      <c r="N34" s="66" t="s">
        <v>325</v>
      </c>
      <c r="O34" s="62" t="s">
        <v>319</v>
      </c>
      <c r="P34" s="63" t="s">
        <v>214</v>
      </c>
      <c r="Q34" s="64" t="s">
        <v>221</v>
      </c>
    </row>
    <row r="35" customFormat="false" ht="15" hidden="false" customHeight="true" outlineLevel="0" collapsed="false">
      <c r="A35" s="57" t="n">
        <v>34</v>
      </c>
      <c r="B35" s="30" t="s">
        <v>160</v>
      </c>
      <c r="C35" s="30" t="s">
        <v>320</v>
      </c>
      <c r="D35" s="30" t="s">
        <v>425</v>
      </c>
      <c r="E35" s="30" t="s">
        <v>207</v>
      </c>
      <c r="F35" s="58"/>
      <c r="G35" s="65" t="s">
        <v>426</v>
      </c>
      <c r="H35" s="30" t="s">
        <v>292</v>
      </c>
      <c r="I35" s="57" t="s">
        <v>427</v>
      </c>
      <c r="J35" s="58" t="n">
        <v>46185</v>
      </c>
      <c r="K35" s="57" t="str">
        <f aca="false">IF($F35="","",IF(AND($F35&gt;=集計!$B$1,$F35&lt;=集計!$B$2),1,0))</f>
        <v/>
      </c>
      <c r="L35" s="41" t="s">
        <v>428</v>
      </c>
      <c r="M35" s="62"/>
      <c r="N35" s="66" t="s">
        <v>325</v>
      </c>
      <c r="O35" s="62" t="s">
        <v>319</v>
      </c>
      <c r="P35" s="63" t="s">
        <v>212</v>
      </c>
      <c r="Q35" s="64" t="s">
        <v>219</v>
      </c>
    </row>
    <row r="36" customFormat="false" ht="15" hidden="false" customHeight="true" outlineLevel="0" collapsed="false">
      <c r="A36" s="57" t="n">
        <v>35</v>
      </c>
      <c r="B36" s="30" t="s">
        <v>163</v>
      </c>
      <c r="C36" s="30" t="s">
        <v>55</v>
      </c>
      <c r="D36" s="30" t="s">
        <v>429</v>
      </c>
      <c r="E36" s="30" t="s">
        <v>314</v>
      </c>
      <c r="F36" s="58"/>
      <c r="G36" s="65" t="s">
        <v>430</v>
      </c>
      <c r="H36" s="30" t="s">
        <v>292</v>
      </c>
      <c r="I36" s="57" t="s">
        <v>431</v>
      </c>
      <c r="J36" s="58" t="n">
        <v>46185</v>
      </c>
      <c r="K36" s="57" t="str">
        <f aca="false">IF($F36="","",IF(AND($F36&gt;=集計!$B$1,$F36&lt;=集計!$B$2),1,0))</f>
        <v/>
      </c>
      <c r="L36" s="41" t="s">
        <v>432</v>
      </c>
      <c r="M36" s="62"/>
      <c r="N36" s="66" t="s">
        <v>325</v>
      </c>
      <c r="O36" s="62" t="s">
        <v>319</v>
      </c>
      <c r="P36" s="63" t="s">
        <v>212</v>
      </c>
      <c r="Q36" s="64" t="s">
        <v>219</v>
      </c>
    </row>
    <row r="37" customFormat="false" ht="15" hidden="false" customHeight="true" outlineLevel="0" collapsed="false">
      <c r="A37" s="57" t="n">
        <v>36</v>
      </c>
      <c r="B37" s="30" t="s">
        <v>166</v>
      </c>
      <c r="C37" s="30" t="s">
        <v>55</v>
      </c>
      <c r="D37" s="30" t="s">
        <v>166</v>
      </c>
      <c r="E37" s="30" t="s">
        <v>314</v>
      </c>
      <c r="F37" s="58"/>
      <c r="G37" s="65" t="s">
        <v>368</v>
      </c>
      <c r="H37" s="30" t="s">
        <v>296</v>
      </c>
      <c r="I37" s="57" t="s">
        <v>167</v>
      </c>
      <c r="J37" s="58" t="n">
        <v>46185</v>
      </c>
      <c r="K37" s="57" t="str">
        <f aca="false">IF($F37="","",IF(AND($F37&gt;=集計!$B$1,$F37&lt;=集計!$B$2),1,0))</f>
        <v/>
      </c>
      <c r="L37" s="41" t="s">
        <v>423</v>
      </c>
      <c r="M37" s="62"/>
      <c r="N37" s="66" t="s">
        <v>325</v>
      </c>
      <c r="O37" s="62" t="s">
        <v>319</v>
      </c>
      <c r="P37" s="63" t="s">
        <v>214</v>
      </c>
      <c r="Q37" s="64" t="s">
        <v>221</v>
      </c>
    </row>
    <row r="38" customFormat="false" ht="15" hidden="false" customHeight="true" outlineLevel="0" collapsed="false">
      <c r="A38" s="57" t="n">
        <v>37</v>
      </c>
      <c r="B38" s="30" t="s">
        <v>169</v>
      </c>
      <c r="C38" s="30" t="s">
        <v>55</v>
      </c>
      <c r="D38" s="30" t="s">
        <v>169</v>
      </c>
      <c r="E38" s="30" t="s">
        <v>314</v>
      </c>
      <c r="F38" s="58"/>
      <c r="G38" s="65" t="s">
        <v>368</v>
      </c>
      <c r="H38" s="30" t="s">
        <v>296</v>
      </c>
      <c r="I38" s="57" t="s">
        <v>170</v>
      </c>
      <c r="J38" s="58" t="n">
        <v>46185</v>
      </c>
      <c r="K38" s="57" t="str">
        <f aca="false">IF($F38="","",IF(AND($F38&gt;=集計!$B$1,$F38&lt;=集計!$B$2),1,0))</f>
        <v/>
      </c>
      <c r="L38" s="41" t="s">
        <v>423</v>
      </c>
      <c r="M38" s="62"/>
      <c r="N38" s="66" t="s">
        <v>325</v>
      </c>
      <c r="O38" s="62" t="s">
        <v>319</v>
      </c>
      <c r="P38" s="63" t="s">
        <v>214</v>
      </c>
      <c r="Q38" s="64" t="s">
        <v>221</v>
      </c>
    </row>
    <row r="39" customFormat="false" ht="15" hidden="false" customHeight="true" outlineLevel="0" collapsed="false">
      <c r="A39" s="57" t="n">
        <v>38</v>
      </c>
      <c r="B39" s="30" t="s">
        <v>172</v>
      </c>
      <c r="C39" s="30" t="s">
        <v>55</v>
      </c>
      <c r="D39" s="30" t="s">
        <v>433</v>
      </c>
      <c r="E39" s="30" t="s">
        <v>207</v>
      </c>
      <c r="F39" s="58"/>
      <c r="G39" s="65" t="s">
        <v>434</v>
      </c>
      <c r="H39" s="30" t="s">
        <v>293</v>
      </c>
      <c r="I39" s="57" t="s">
        <v>435</v>
      </c>
      <c r="J39" s="58" t="n">
        <v>46185</v>
      </c>
      <c r="K39" s="57" t="str">
        <f aca="false">IF($F39="","",IF(AND($F39&gt;=集計!$B$1,$F39&lt;=集計!$B$2),1,0))</f>
        <v/>
      </c>
      <c r="L39" s="41" t="s">
        <v>436</v>
      </c>
      <c r="M39" s="62"/>
      <c r="N39" s="66" t="s">
        <v>325</v>
      </c>
      <c r="O39" s="62" t="s">
        <v>319</v>
      </c>
      <c r="P39" s="63" t="s">
        <v>212</v>
      </c>
      <c r="Q39" s="64" t="s">
        <v>219</v>
      </c>
    </row>
    <row r="40" customFormat="false" ht="15" hidden="false" customHeight="true" outlineLevel="0" collapsed="false">
      <c r="A40" s="57" t="n">
        <v>39</v>
      </c>
      <c r="B40" s="30" t="s">
        <v>175</v>
      </c>
      <c r="C40" s="30" t="s">
        <v>55</v>
      </c>
      <c r="D40" s="30" t="s">
        <v>175</v>
      </c>
      <c r="E40" s="30" t="s">
        <v>314</v>
      </c>
      <c r="F40" s="58"/>
      <c r="G40" s="65" t="s">
        <v>368</v>
      </c>
      <c r="H40" s="30" t="s">
        <v>296</v>
      </c>
      <c r="I40" s="57" t="s">
        <v>176</v>
      </c>
      <c r="J40" s="58" t="n">
        <v>46185</v>
      </c>
      <c r="K40" s="57" t="str">
        <f aca="false">IF($F40="","",IF(AND($F40&gt;=集計!$B$1,$F40&lt;=集計!$B$2),1,0))</f>
        <v/>
      </c>
      <c r="L40" s="41" t="s">
        <v>423</v>
      </c>
      <c r="M40" s="62"/>
      <c r="N40" s="66" t="s">
        <v>325</v>
      </c>
      <c r="O40" s="62" t="s">
        <v>319</v>
      </c>
      <c r="P40" s="63" t="s">
        <v>214</v>
      </c>
      <c r="Q40" s="64" t="s">
        <v>221</v>
      </c>
    </row>
    <row r="41" customFormat="false" ht="15" hidden="false" customHeight="true" outlineLevel="0" collapsed="false">
      <c r="A41" s="57" t="n">
        <v>40</v>
      </c>
      <c r="B41" s="30" t="s">
        <v>178</v>
      </c>
      <c r="C41" s="30" t="s">
        <v>55</v>
      </c>
      <c r="D41" s="30" t="s">
        <v>178</v>
      </c>
      <c r="E41" s="30" t="s">
        <v>314</v>
      </c>
      <c r="F41" s="58"/>
      <c r="G41" s="65" t="s">
        <v>368</v>
      </c>
      <c r="H41" s="30" t="s">
        <v>296</v>
      </c>
      <c r="I41" s="57" t="s">
        <v>179</v>
      </c>
      <c r="J41" s="58" t="n">
        <v>46185</v>
      </c>
      <c r="K41" s="57" t="str">
        <f aca="false">IF($F41="","",IF(AND($F41&gt;=集計!$B$1,$F41&lt;=集計!$B$2),1,0))</f>
        <v/>
      </c>
      <c r="L41" s="41" t="s">
        <v>437</v>
      </c>
      <c r="M41" s="62"/>
      <c r="N41" s="66" t="s">
        <v>325</v>
      </c>
      <c r="O41" s="62" t="s">
        <v>319</v>
      </c>
      <c r="P41" s="63" t="s">
        <v>214</v>
      </c>
      <c r="Q41" s="64" t="s">
        <v>221</v>
      </c>
    </row>
    <row r="42" customFormat="false" ht="15" hidden="false" customHeight="true" outlineLevel="0" collapsed="false">
      <c r="A42" s="57" t="n">
        <v>41</v>
      </c>
      <c r="B42" s="30" t="s">
        <v>181</v>
      </c>
      <c r="C42" s="30" t="s">
        <v>296</v>
      </c>
      <c r="D42" s="30" t="s">
        <v>438</v>
      </c>
      <c r="E42" s="30" t="s">
        <v>207</v>
      </c>
      <c r="F42" s="58" t="n">
        <v>46143</v>
      </c>
      <c r="G42" s="65" t="s">
        <v>439</v>
      </c>
      <c r="H42" s="30" t="s">
        <v>293</v>
      </c>
      <c r="I42" s="57" t="s">
        <v>440</v>
      </c>
      <c r="J42" s="58" t="n">
        <v>46185</v>
      </c>
      <c r="K42" s="57" t="n">
        <f aca="false">IF($F42="","",IF(AND($F42&gt;=集計!$B$1,$F42&lt;=集計!$B$2),1,0))</f>
        <v>1</v>
      </c>
      <c r="L42" s="41" t="s">
        <v>441</v>
      </c>
      <c r="M42" s="62"/>
      <c r="N42" s="61" t="s">
        <v>318</v>
      </c>
      <c r="O42" s="62" t="s">
        <v>319</v>
      </c>
      <c r="P42" s="63" t="s">
        <v>212</v>
      </c>
      <c r="Q42" s="64" t="s">
        <v>219</v>
      </c>
    </row>
    <row r="43" customFormat="false" ht="15" hidden="false" customHeight="true" outlineLevel="0" collapsed="false">
      <c r="A43" s="57" t="n">
        <v>42</v>
      </c>
      <c r="B43" s="30" t="s">
        <v>184</v>
      </c>
      <c r="C43" s="30" t="s">
        <v>55</v>
      </c>
      <c r="D43" s="30" t="s">
        <v>184</v>
      </c>
      <c r="E43" s="30" t="s">
        <v>314</v>
      </c>
      <c r="F43" s="58"/>
      <c r="G43" s="65" t="s">
        <v>368</v>
      </c>
      <c r="H43" s="30" t="s">
        <v>296</v>
      </c>
      <c r="I43" s="57" t="s">
        <v>185</v>
      </c>
      <c r="J43" s="58" t="n">
        <v>46185</v>
      </c>
      <c r="K43" s="57" t="str">
        <f aca="false">IF($F43="","",IF(AND($F43&gt;=集計!$B$1,$F43&lt;=集計!$B$2),1,0))</f>
        <v/>
      </c>
      <c r="L43" s="41" t="s">
        <v>423</v>
      </c>
      <c r="M43" s="62"/>
      <c r="N43" s="66" t="s">
        <v>325</v>
      </c>
      <c r="O43" s="62" t="s">
        <v>319</v>
      </c>
      <c r="P43" s="63" t="s">
        <v>214</v>
      </c>
      <c r="Q43" s="64" t="s">
        <v>221</v>
      </c>
    </row>
    <row r="44" customFormat="false" ht="15" hidden="false" customHeight="true" outlineLevel="0" collapsed="false">
      <c r="A44" s="57" t="n">
        <v>43</v>
      </c>
      <c r="B44" s="30" t="s">
        <v>187</v>
      </c>
      <c r="C44" s="30" t="s">
        <v>55</v>
      </c>
      <c r="D44" s="30" t="s">
        <v>442</v>
      </c>
      <c r="E44" s="30" t="s">
        <v>207</v>
      </c>
      <c r="F44" s="58"/>
      <c r="G44" s="65" t="s">
        <v>443</v>
      </c>
      <c r="H44" s="30" t="s">
        <v>292</v>
      </c>
      <c r="I44" s="57" t="s">
        <v>444</v>
      </c>
      <c r="J44" s="58" t="n">
        <v>46185</v>
      </c>
      <c r="K44" s="57" t="str">
        <f aca="false">IF($F44="","",IF(AND($F44&gt;=集計!$B$1,$F44&lt;=集計!$B$2),1,0))</f>
        <v/>
      </c>
      <c r="L44" s="41" t="s">
        <v>445</v>
      </c>
      <c r="M44" s="62"/>
      <c r="N44" s="66" t="s">
        <v>325</v>
      </c>
      <c r="O44" s="62" t="s">
        <v>319</v>
      </c>
      <c r="P44" s="63" t="s">
        <v>212</v>
      </c>
      <c r="Q44" s="64" t="s">
        <v>219</v>
      </c>
    </row>
    <row r="45" customFormat="false" ht="15" hidden="false" customHeight="true" outlineLevel="0" collapsed="false">
      <c r="A45" s="57" t="n">
        <v>44</v>
      </c>
      <c r="B45" s="30" t="s">
        <v>190</v>
      </c>
      <c r="C45" s="30" t="s">
        <v>55</v>
      </c>
      <c r="D45" s="30" t="s">
        <v>446</v>
      </c>
      <c r="E45" s="30" t="s">
        <v>207</v>
      </c>
      <c r="F45" s="58"/>
      <c r="G45" s="65" t="s">
        <v>447</v>
      </c>
      <c r="H45" s="30" t="s">
        <v>292</v>
      </c>
      <c r="I45" s="57" t="s">
        <v>448</v>
      </c>
      <c r="J45" s="58" t="n">
        <v>46185</v>
      </c>
      <c r="K45" s="57" t="str">
        <f aca="false">IF($F45="","",IF(AND($F45&gt;=集計!$B$1,$F45&lt;=集計!$B$2),1,0))</f>
        <v/>
      </c>
      <c r="L45" s="41" t="s">
        <v>445</v>
      </c>
      <c r="M45" s="62"/>
      <c r="N45" s="66" t="s">
        <v>325</v>
      </c>
      <c r="O45" s="62" t="s">
        <v>319</v>
      </c>
      <c r="P45" s="63" t="s">
        <v>212</v>
      </c>
      <c r="Q45" s="64" t="s">
        <v>219</v>
      </c>
    </row>
    <row r="46" customFormat="false" ht="15" hidden="false" customHeight="true" outlineLevel="0" collapsed="false">
      <c r="A46" s="57" t="n">
        <v>45</v>
      </c>
      <c r="B46" s="30" t="s">
        <v>193</v>
      </c>
      <c r="C46" s="30" t="s">
        <v>55</v>
      </c>
      <c r="D46" s="30" t="s">
        <v>193</v>
      </c>
      <c r="E46" s="30" t="s">
        <v>314</v>
      </c>
      <c r="F46" s="58"/>
      <c r="G46" s="65" t="s">
        <v>449</v>
      </c>
      <c r="H46" s="30" t="s">
        <v>296</v>
      </c>
      <c r="I46" s="57" t="s">
        <v>194</v>
      </c>
      <c r="J46" s="58" t="n">
        <v>46185</v>
      </c>
      <c r="K46" s="57" t="str">
        <f aca="false">IF($F46="","",IF(AND($F46&gt;=集計!$B$1,$F46&lt;=集計!$B$2),1,0))</f>
        <v/>
      </c>
      <c r="L46" s="41" t="s">
        <v>450</v>
      </c>
      <c r="M46" s="62"/>
      <c r="N46" s="66" t="s">
        <v>325</v>
      </c>
      <c r="O46" s="62" t="s">
        <v>319</v>
      </c>
      <c r="P46" s="63" t="s">
        <v>214</v>
      </c>
      <c r="Q46" s="64" t="s">
        <v>221</v>
      </c>
    </row>
    <row r="47" customFormat="false" ht="15" hidden="false" customHeight="true" outlineLevel="0" collapsed="false">
      <c r="A47" s="57" t="n">
        <v>46</v>
      </c>
      <c r="B47" s="30" t="s">
        <v>196</v>
      </c>
      <c r="C47" s="30" t="s">
        <v>55</v>
      </c>
      <c r="D47" s="30" t="s">
        <v>196</v>
      </c>
      <c r="E47" s="30" t="s">
        <v>314</v>
      </c>
      <c r="F47" s="58"/>
      <c r="G47" s="65" t="s">
        <v>368</v>
      </c>
      <c r="H47" s="30" t="s">
        <v>296</v>
      </c>
      <c r="I47" s="57" t="s">
        <v>197</v>
      </c>
      <c r="J47" s="58" t="n">
        <v>46185</v>
      </c>
      <c r="K47" s="57" t="str">
        <f aca="false">IF($F47="","",IF(AND($F47&gt;=集計!$B$1,$F47&lt;=集計!$B$2),1,0))</f>
        <v/>
      </c>
      <c r="L47" s="41" t="s">
        <v>423</v>
      </c>
      <c r="M47" s="62"/>
      <c r="N47" s="66" t="s">
        <v>325</v>
      </c>
      <c r="O47" s="62" t="s">
        <v>319</v>
      </c>
      <c r="P47" s="63" t="s">
        <v>214</v>
      </c>
      <c r="Q47" s="64" t="s">
        <v>221</v>
      </c>
    </row>
    <row r="48" customFormat="false" ht="15" hidden="false" customHeight="true" outlineLevel="0" collapsed="false">
      <c r="A48" s="57" t="n">
        <v>47</v>
      </c>
      <c r="B48" s="30" t="s">
        <v>199</v>
      </c>
      <c r="C48" s="30" t="s">
        <v>55</v>
      </c>
      <c r="D48" s="30" t="s">
        <v>451</v>
      </c>
      <c r="E48" s="30" t="s">
        <v>314</v>
      </c>
      <c r="F48" s="58"/>
      <c r="G48" s="65" t="s">
        <v>452</v>
      </c>
      <c r="H48" s="30" t="s">
        <v>292</v>
      </c>
      <c r="I48" s="57" t="s">
        <v>453</v>
      </c>
      <c r="J48" s="58" t="n">
        <v>46185</v>
      </c>
      <c r="K48" s="57" t="str">
        <f aca="false">IF($F48="","",IF(AND($F48&gt;=集計!$B$1,$F48&lt;=集計!$B$2),1,0))</f>
        <v/>
      </c>
      <c r="L48" s="41" t="s">
        <v>454</v>
      </c>
      <c r="M48" s="62"/>
      <c r="N48" s="66" t="s">
        <v>325</v>
      </c>
      <c r="O48" s="62" t="s">
        <v>319</v>
      </c>
      <c r="P48" s="63" t="s">
        <v>212</v>
      </c>
      <c r="Q48" s="64" t="s">
        <v>219</v>
      </c>
    </row>
    <row r="49" customFormat="false" ht="15" hidden="false" customHeight="true" outlineLevel="0" collapsed="false">
      <c r="A49" s="57" t="n">
        <v>48</v>
      </c>
      <c r="B49" s="30" t="s">
        <v>202</v>
      </c>
      <c r="C49" s="30" t="s">
        <v>55</v>
      </c>
      <c r="D49" s="30" t="s">
        <v>455</v>
      </c>
      <c r="E49" s="30" t="s">
        <v>207</v>
      </c>
      <c r="F49" s="58"/>
      <c r="G49" s="65" t="s">
        <v>456</v>
      </c>
      <c r="H49" s="30" t="s">
        <v>292</v>
      </c>
      <c r="I49" s="57" t="s">
        <v>457</v>
      </c>
      <c r="J49" s="58" t="n">
        <v>46185</v>
      </c>
      <c r="K49" s="57" t="str">
        <f aca="false">IF($F49="","",IF(AND($F49&gt;=集計!$B$1,$F49&lt;=集計!$B$2),1,0))</f>
        <v/>
      </c>
      <c r="L49" s="41" t="s">
        <v>445</v>
      </c>
      <c r="M49" s="62"/>
      <c r="N49" s="66" t="s">
        <v>325</v>
      </c>
      <c r="O49" s="62" t="s">
        <v>319</v>
      </c>
      <c r="P49" s="63" t="s">
        <v>212</v>
      </c>
      <c r="Q49" s="64" t="s">
        <v>219</v>
      </c>
    </row>
    <row r="50" customFormat="false" ht="15" hidden="false" customHeight="true" outlineLevel="0" collapsed="false">
      <c r="A50" s="57" t="n">
        <v>49</v>
      </c>
      <c r="B50" s="30" t="s">
        <v>100</v>
      </c>
      <c r="C50" s="30" t="s">
        <v>55</v>
      </c>
      <c r="D50" s="30" t="s">
        <v>458</v>
      </c>
      <c r="E50" s="30" t="s">
        <v>207</v>
      </c>
      <c r="F50" s="58"/>
      <c r="G50" s="65" t="s">
        <v>459</v>
      </c>
      <c r="H50" s="30" t="s">
        <v>292</v>
      </c>
      <c r="I50" s="57" t="s">
        <v>460</v>
      </c>
      <c r="J50" s="58" t="n">
        <v>46185</v>
      </c>
      <c r="K50" s="57" t="str">
        <f aca="false">IF($F50="","",IF(AND($F50&gt;=集計!$B$1,$F50&lt;=集計!$B$2),1,0))</f>
        <v/>
      </c>
      <c r="L50" s="41" t="s">
        <v>461</v>
      </c>
      <c r="M50" s="62"/>
      <c r="N50" s="66" t="s">
        <v>325</v>
      </c>
      <c r="O50" s="62" t="s">
        <v>319</v>
      </c>
      <c r="P50" s="63" t="s">
        <v>212</v>
      </c>
      <c r="Q50" s="64" t="s">
        <v>219</v>
      </c>
    </row>
    <row r="51" customFormat="false" ht="15" hidden="false" customHeight="true" outlineLevel="0" collapsed="false">
      <c r="A51" s="57" t="n">
        <v>50</v>
      </c>
      <c r="B51" s="30" t="s">
        <v>103</v>
      </c>
      <c r="C51" s="30" t="s">
        <v>55</v>
      </c>
      <c r="D51" s="30" t="s">
        <v>462</v>
      </c>
      <c r="E51" s="30" t="s">
        <v>314</v>
      </c>
      <c r="F51" s="58"/>
      <c r="G51" s="65" t="s">
        <v>463</v>
      </c>
      <c r="H51" s="30" t="s">
        <v>293</v>
      </c>
      <c r="I51" s="57" t="s">
        <v>464</v>
      </c>
      <c r="J51" s="58" t="n">
        <v>46203</v>
      </c>
      <c r="K51" s="57" t="str">
        <f aca="false">IF($F51="","",IF(AND($F51&gt;=集計!$B$1,$F51&lt;=集計!$B$2),1,0))</f>
        <v/>
      </c>
      <c r="L51" s="41" t="s">
        <v>465</v>
      </c>
      <c r="M51" s="62"/>
      <c r="N51" s="66" t="s">
        <v>325</v>
      </c>
      <c r="O51" s="62" t="s">
        <v>319</v>
      </c>
      <c r="P51" s="63" t="s">
        <v>212</v>
      </c>
      <c r="Q51" s="64" t="s">
        <v>219</v>
      </c>
    </row>
    <row r="52" customFormat="false" ht="15" hidden="false" customHeight="true" outlineLevel="0" collapsed="false">
      <c r="A52" s="57" t="n">
        <v>51</v>
      </c>
      <c r="B52" s="30" t="s">
        <v>97</v>
      </c>
      <c r="C52" s="30" t="s">
        <v>320</v>
      </c>
      <c r="D52" s="30" t="s">
        <v>466</v>
      </c>
      <c r="E52" s="30" t="s">
        <v>314</v>
      </c>
      <c r="F52" s="58"/>
      <c r="G52" s="65" t="s">
        <v>467</v>
      </c>
      <c r="H52" s="30" t="s">
        <v>293</v>
      </c>
      <c r="I52" s="57" t="s">
        <v>468</v>
      </c>
      <c r="J52" s="58" t="n">
        <v>46203</v>
      </c>
      <c r="K52" s="57" t="str">
        <f aca="false">IF($F52="","",IF(AND($F52&gt;=集計!$B$1,$F52&lt;=集計!$B$2),1,0))</f>
        <v/>
      </c>
      <c r="L52" s="41" t="s">
        <v>469</v>
      </c>
      <c r="M52" s="62"/>
      <c r="N52" s="66" t="s">
        <v>325</v>
      </c>
      <c r="O52" s="62" t="s">
        <v>319</v>
      </c>
      <c r="P52" s="63" t="s">
        <v>212</v>
      </c>
      <c r="Q52" s="64" t="s">
        <v>219</v>
      </c>
    </row>
    <row r="53" customFormat="false" ht="15" hidden="false" customHeight="true" outlineLevel="0" collapsed="false">
      <c r="A53" s="57" t="n">
        <v>52</v>
      </c>
      <c r="B53" s="30" t="s">
        <v>181</v>
      </c>
      <c r="C53" s="30" t="s">
        <v>55</v>
      </c>
      <c r="D53" s="30" t="s">
        <v>470</v>
      </c>
      <c r="E53" s="30" t="s">
        <v>314</v>
      </c>
      <c r="F53" s="58" t="n">
        <v>46190</v>
      </c>
      <c r="G53" s="65" t="s">
        <v>471</v>
      </c>
      <c r="H53" s="30" t="s">
        <v>293</v>
      </c>
      <c r="I53" s="57" t="s">
        <v>472</v>
      </c>
      <c r="J53" s="58" t="n">
        <v>46185</v>
      </c>
      <c r="K53" s="57" t="n">
        <f aca="false">IF($F53="","",IF(AND($F53&gt;=集計!$B$1,$F53&lt;=集計!$B$2),1,0))</f>
        <v>1</v>
      </c>
      <c r="L53" s="41" t="s">
        <v>473</v>
      </c>
      <c r="M53" s="62"/>
      <c r="N53" s="67" t="s">
        <v>474</v>
      </c>
      <c r="O53" s="62" t="s">
        <v>319</v>
      </c>
      <c r="P53" s="63" t="s">
        <v>212</v>
      </c>
      <c r="Q53" s="64" t="s">
        <v>219</v>
      </c>
    </row>
    <row r="54" customFormat="false" ht="15" hidden="false" customHeight="true" outlineLevel="0" collapsed="false">
      <c r="A54" s="57" t="n">
        <v>53</v>
      </c>
      <c r="B54" s="30" t="s">
        <v>181</v>
      </c>
      <c r="C54" s="30" t="s">
        <v>55</v>
      </c>
      <c r="D54" s="30" t="s">
        <v>470</v>
      </c>
      <c r="E54" s="30" t="s">
        <v>314</v>
      </c>
      <c r="F54" s="58" t="n">
        <v>46177</v>
      </c>
      <c r="G54" s="65" t="s">
        <v>475</v>
      </c>
      <c r="H54" s="30" t="s">
        <v>294</v>
      </c>
      <c r="I54" s="57" t="s">
        <v>472</v>
      </c>
      <c r="J54" s="58" t="n">
        <v>46185</v>
      </c>
      <c r="K54" s="57" t="n">
        <f aca="false">IF($F54="","",IF(AND($F54&gt;=集計!$B$1,$F54&lt;=集計!$B$2),1,0))</f>
        <v>1</v>
      </c>
      <c r="L54" s="41" t="s">
        <v>476</v>
      </c>
      <c r="M54" s="62"/>
      <c r="N54" s="67" t="s">
        <v>474</v>
      </c>
      <c r="O54" s="62" t="s">
        <v>319</v>
      </c>
      <c r="P54" s="63" t="s">
        <v>213</v>
      </c>
      <c r="Q54" s="64" t="s">
        <v>219</v>
      </c>
    </row>
    <row r="55" customFormat="false" ht="15" hidden="false" customHeight="true" outlineLevel="0" collapsed="false">
      <c r="A55" s="57" t="n">
        <v>54</v>
      </c>
      <c r="B55" s="30" t="s">
        <v>100</v>
      </c>
      <c r="C55" s="30" t="s">
        <v>55</v>
      </c>
      <c r="D55" s="30" t="s">
        <v>477</v>
      </c>
      <c r="E55" s="30" t="s">
        <v>207</v>
      </c>
      <c r="F55" s="58" t="n">
        <v>46171</v>
      </c>
      <c r="G55" s="65" t="s">
        <v>478</v>
      </c>
      <c r="H55" s="30" t="s">
        <v>291</v>
      </c>
      <c r="I55" s="57" t="s">
        <v>479</v>
      </c>
      <c r="J55" s="58" t="n">
        <v>46203</v>
      </c>
      <c r="K55" s="57" t="n">
        <f aca="false">IF($F55="","",IF(AND($F55&gt;=集計!$B$1,$F55&lt;=集計!$B$2),1,0))</f>
        <v>1</v>
      </c>
      <c r="L55" s="39" t="s">
        <v>480</v>
      </c>
      <c r="M55" s="62"/>
      <c r="N55" s="67" t="s">
        <v>474</v>
      </c>
      <c r="O55" s="62" t="s">
        <v>481</v>
      </c>
      <c r="P55" s="63" t="s">
        <v>209</v>
      </c>
      <c r="Q55" s="64" t="s">
        <v>221</v>
      </c>
      <c r="R55" s="64" t="s">
        <v>482</v>
      </c>
      <c r="S55" s="64" t="s">
        <v>482</v>
      </c>
      <c r="T55" s="68" t="s">
        <v>483</v>
      </c>
    </row>
    <row r="56" customFormat="false" ht="15" hidden="false" customHeight="true" outlineLevel="0" collapsed="false">
      <c r="A56" s="57" t="n">
        <v>55</v>
      </c>
      <c r="B56" s="30" t="s">
        <v>100</v>
      </c>
      <c r="C56" s="30" t="s">
        <v>55</v>
      </c>
      <c r="D56" s="30" t="s">
        <v>484</v>
      </c>
      <c r="E56" s="30" t="s">
        <v>207</v>
      </c>
      <c r="F56" s="58" t="n">
        <v>46171</v>
      </c>
      <c r="G56" s="65" t="s">
        <v>485</v>
      </c>
      <c r="H56" s="30" t="s">
        <v>296</v>
      </c>
      <c r="I56" s="57" t="s">
        <v>486</v>
      </c>
      <c r="J56" s="58" t="n">
        <v>46203</v>
      </c>
      <c r="K56" s="57" t="n">
        <f aca="false">IF($F56="","",IF(AND($F56&gt;=集計!$B$1,$F56&lt;=集計!$B$2),1,0))</f>
        <v>1</v>
      </c>
      <c r="L56" s="39" t="s">
        <v>487</v>
      </c>
      <c r="M56" s="62"/>
      <c r="N56" s="67" t="s">
        <v>474</v>
      </c>
      <c r="O56" s="62" t="s">
        <v>481</v>
      </c>
      <c r="P56" s="63" t="s">
        <v>211</v>
      </c>
      <c r="Q56" s="64" t="s">
        <v>220</v>
      </c>
    </row>
    <row r="57" customFormat="false" ht="15" hidden="false" customHeight="true" outlineLevel="0" collapsed="false">
      <c r="A57" s="57" t="n">
        <v>56</v>
      </c>
      <c r="B57" s="30" t="s">
        <v>169</v>
      </c>
      <c r="C57" s="30" t="s">
        <v>55</v>
      </c>
      <c r="D57" s="30" t="s">
        <v>488</v>
      </c>
      <c r="E57" s="30" t="s">
        <v>207</v>
      </c>
      <c r="F57" s="58" t="n">
        <v>46174</v>
      </c>
      <c r="G57" s="65" t="s">
        <v>489</v>
      </c>
      <c r="H57" s="30" t="s">
        <v>291</v>
      </c>
      <c r="I57" s="57" t="s">
        <v>490</v>
      </c>
      <c r="J57" s="58" t="n">
        <v>46203</v>
      </c>
      <c r="K57" s="57" t="n">
        <f aca="false">IF($F57="","",IF(AND($F57&gt;=集計!$B$1,$F57&lt;=集計!$B$2),1,0))</f>
        <v>1</v>
      </c>
      <c r="L57" s="39" t="s">
        <v>491</v>
      </c>
      <c r="M57" s="62"/>
      <c r="N57" s="61" t="s">
        <v>318</v>
      </c>
      <c r="O57" s="62" t="s">
        <v>481</v>
      </c>
      <c r="P57" s="63" t="s">
        <v>209</v>
      </c>
      <c r="Q57" s="64" t="s">
        <v>221</v>
      </c>
      <c r="R57" s="64" t="s">
        <v>482</v>
      </c>
      <c r="S57" s="64" t="s">
        <v>482</v>
      </c>
      <c r="T57" s="68" t="s">
        <v>483</v>
      </c>
    </row>
    <row r="58" customFormat="false" ht="15" hidden="false" customHeight="true" outlineLevel="0" collapsed="false">
      <c r="A58" s="57" t="n">
        <v>57</v>
      </c>
      <c r="B58" s="30" t="s">
        <v>67</v>
      </c>
      <c r="C58" s="30" t="s">
        <v>55</v>
      </c>
      <c r="D58" s="30" t="s">
        <v>67</v>
      </c>
      <c r="E58" s="30" t="s">
        <v>207</v>
      </c>
      <c r="F58" s="58"/>
      <c r="G58" s="65" t="s">
        <v>492</v>
      </c>
      <c r="H58" s="30" t="s">
        <v>295</v>
      </c>
      <c r="I58" s="57" t="s">
        <v>493</v>
      </c>
      <c r="J58" s="58" t="n">
        <v>46203</v>
      </c>
      <c r="K58" s="57" t="str">
        <f aca="false">IF($F58="","",IF(AND($F58&gt;=集計!$B$1,$F58&lt;=集計!$B$2),1,0))</f>
        <v/>
      </c>
      <c r="L58" s="39" t="s">
        <v>494</v>
      </c>
      <c r="M58" s="62"/>
      <c r="N58" s="66" t="s">
        <v>325</v>
      </c>
      <c r="O58" s="62" t="s">
        <v>481</v>
      </c>
      <c r="P58" s="63" t="s">
        <v>210</v>
      </c>
      <c r="Q58" s="64" t="s">
        <v>221</v>
      </c>
    </row>
    <row r="59" customFormat="false" ht="15" hidden="false" customHeight="true" outlineLevel="0" collapsed="false">
      <c r="A59" s="57" t="n">
        <v>58</v>
      </c>
      <c r="B59" s="30" t="s">
        <v>88</v>
      </c>
      <c r="C59" s="30" t="s">
        <v>55</v>
      </c>
      <c r="D59" s="30" t="s">
        <v>88</v>
      </c>
      <c r="E59" s="30" t="s">
        <v>314</v>
      </c>
      <c r="F59" s="58"/>
      <c r="G59" s="65" t="s">
        <v>495</v>
      </c>
      <c r="H59" s="30" t="s">
        <v>296</v>
      </c>
      <c r="I59" s="57" t="s">
        <v>496</v>
      </c>
      <c r="J59" s="58" t="n">
        <v>46203</v>
      </c>
      <c r="K59" s="57" t="str">
        <f aca="false">IF($F59="","",IF(AND($F59&gt;=集計!$B$1,$F59&lt;=集計!$B$2),1,0))</f>
        <v/>
      </c>
      <c r="L59" s="39" t="s">
        <v>497</v>
      </c>
      <c r="M59" s="62"/>
      <c r="N59" s="66" t="s">
        <v>325</v>
      </c>
      <c r="O59" s="62" t="s">
        <v>481</v>
      </c>
      <c r="P59" s="63" t="s">
        <v>214</v>
      </c>
      <c r="Q59" s="64" t="s">
        <v>221</v>
      </c>
    </row>
    <row r="60" customFormat="false" ht="15" hidden="false" customHeight="true" outlineLevel="0" collapsed="false">
      <c r="A60" s="57" t="n">
        <v>59</v>
      </c>
      <c r="B60" s="30" t="s">
        <v>62</v>
      </c>
      <c r="C60" s="30" t="s">
        <v>55</v>
      </c>
      <c r="D60" s="30" t="s">
        <v>382</v>
      </c>
      <c r="E60" s="30" t="s">
        <v>314</v>
      </c>
      <c r="F60" s="58"/>
      <c r="G60" s="65" t="s">
        <v>498</v>
      </c>
      <c r="H60" s="30" t="s">
        <v>294</v>
      </c>
      <c r="I60" s="57" t="s">
        <v>499</v>
      </c>
      <c r="J60" s="58" t="n">
        <v>46203</v>
      </c>
      <c r="K60" s="57" t="str">
        <f aca="false">IF($F60="","",IF(AND($F60&gt;=集計!$B$1,$F60&lt;=集計!$B$2),1,0))</f>
        <v/>
      </c>
      <c r="L60" s="39" t="s">
        <v>500</v>
      </c>
      <c r="M60" s="62"/>
      <c r="N60" s="66" t="s">
        <v>325</v>
      </c>
      <c r="O60" s="62" t="s">
        <v>481</v>
      </c>
      <c r="P60" s="63" t="s">
        <v>213</v>
      </c>
      <c r="Q60" s="64" t="s">
        <v>219</v>
      </c>
    </row>
    <row r="61" customFormat="false" ht="15" hidden="false" customHeight="true" outlineLevel="0" collapsed="false">
      <c r="A61" s="57" t="n">
        <v>60</v>
      </c>
      <c r="B61" s="30" t="s">
        <v>97</v>
      </c>
      <c r="C61" s="30" t="s">
        <v>55</v>
      </c>
      <c r="D61" s="30" t="s">
        <v>501</v>
      </c>
      <c r="E61" s="30" t="s">
        <v>207</v>
      </c>
      <c r="F61" s="58"/>
      <c r="G61" s="65" t="s">
        <v>502</v>
      </c>
      <c r="H61" s="30" t="s">
        <v>291</v>
      </c>
      <c r="I61" s="57" t="s">
        <v>503</v>
      </c>
      <c r="J61" s="58" t="n">
        <v>46203</v>
      </c>
      <c r="K61" s="57" t="str">
        <f aca="false">IF($F61="","",IF(AND($F61&gt;=集計!$B$1,$F61&lt;=集計!$B$2),1,0))</f>
        <v/>
      </c>
      <c r="L61" s="39" t="s">
        <v>504</v>
      </c>
      <c r="M61" s="62"/>
      <c r="N61" s="66" t="s">
        <v>325</v>
      </c>
      <c r="O61" s="62" t="s">
        <v>481</v>
      </c>
      <c r="P61" s="63" t="s">
        <v>209</v>
      </c>
      <c r="Q61" s="64" t="s">
        <v>221</v>
      </c>
      <c r="R61" s="68"/>
      <c r="S61" s="62"/>
      <c r="T61" s="69" t="s">
        <v>505</v>
      </c>
    </row>
    <row r="62" customFormat="false" ht="15" hidden="false" customHeight="true" outlineLevel="0" collapsed="false">
      <c r="A62" s="57" t="n">
        <v>61</v>
      </c>
      <c r="B62" s="30" t="s">
        <v>62</v>
      </c>
      <c r="C62" s="30" t="s">
        <v>55</v>
      </c>
      <c r="D62" s="30" t="s">
        <v>506</v>
      </c>
      <c r="E62" s="30" t="s">
        <v>207</v>
      </c>
      <c r="F62" s="58"/>
      <c r="G62" s="65" t="s">
        <v>507</v>
      </c>
      <c r="H62" s="30" t="s">
        <v>291</v>
      </c>
      <c r="I62" s="57" t="s">
        <v>508</v>
      </c>
      <c r="J62" s="58" t="n">
        <v>46203</v>
      </c>
      <c r="K62" s="57" t="str">
        <f aca="false">IF($F62="","",IF(AND($F62&gt;=集計!$B$1,$F62&lt;=集計!$B$2),1,0))</f>
        <v/>
      </c>
      <c r="L62" s="45" t="s">
        <v>509</v>
      </c>
      <c r="M62" s="62"/>
      <c r="N62" s="66" t="s">
        <v>325</v>
      </c>
      <c r="O62" s="62" t="s">
        <v>319</v>
      </c>
      <c r="P62" s="63" t="s">
        <v>209</v>
      </c>
      <c r="Q62" s="64" t="s">
        <v>221</v>
      </c>
      <c r="R62" s="64" t="s">
        <v>482</v>
      </c>
      <c r="S62" s="64" t="s">
        <v>482</v>
      </c>
      <c r="T62" s="68" t="s">
        <v>483</v>
      </c>
    </row>
    <row r="63" customFormat="false" ht="15" hidden="false" customHeight="true" outlineLevel="0" collapsed="false">
      <c r="A63" s="57" t="n">
        <v>62</v>
      </c>
      <c r="B63" s="30" t="s">
        <v>73</v>
      </c>
      <c r="C63" s="30" t="s">
        <v>55</v>
      </c>
      <c r="D63" s="30" t="s">
        <v>510</v>
      </c>
      <c r="E63" s="30" t="s">
        <v>207</v>
      </c>
      <c r="F63" s="58"/>
      <c r="G63" s="65" t="s">
        <v>511</v>
      </c>
      <c r="H63" s="30" t="s">
        <v>291</v>
      </c>
      <c r="I63" s="57" t="s">
        <v>512</v>
      </c>
      <c r="J63" s="58" t="n">
        <v>46203</v>
      </c>
      <c r="K63" s="57" t="str">
        <f aca="false">IF($F63="","",IF(AND($F63&gt;=集計!$B$1,$F63&lt;=集計!$B$2),1,0))</f>
        <v/>
      </c>
      <c r="L63" s="65" t="s">
        <v>513</v>
      </c>
      <c r="M63" s="62"/>
      <c r="N63" s="66" t="s">
        <v>325</v>
      </c>
      <c r="O63" s="62" t="s">
        <v>319</v>
      </c>
      <c r="P63" s="63" t="s">
        <v>209</v>
      </c>
      <c r="Q63" s="64" t="s">
        <v>221</v>
      </c>
      <c r="R63" s="64" t="s">
        <v>482</v>
      </c>
      <c r="S63" s="64" t="s">
        <v>482</v>
      </c>
      <c r="T63" s="68" t="s">
        <v>483</v>
      </c>
    </row>
    <row r="64" customFormat="false" ht="15" hidden="false" customHeight="true" outlineLevel="0" collapsed="false">
      <c r="A64" s="57" t="n">
        <v>63</v>
      </c>
      <c r="B64" s="30" t="s">
        <v>67</v>
      </c>
      <c r="C64" s="30" t="s">
        <v>55</v>
      </c>
      <c r="D64" s="30" t="s">
        <v>514</v>
      </c>
      <c r="E64" s="30" t="s">
        <v>207</v>
      </c>
      <c r="F64" s="58"/>
      <c r="G64" s="65" t="s">
        <v>515</v>
      </c>
      <c r="H64" s="30" t="s">
        <v>291</v>
      </c>
      <c r="I64" s="57" t="s">
        <v>516</v>
      </c>
      <c r="J64" s="58" t="n">
        <v>46203</v>
      </c>
      <c r="K64" s="57" t="str">
        <f aca="false">IF($F64="","",IF(AND($F64&gt;=集計!$B$1,$F64&lt;=集計!$B$2),1,0))</f>
        <v/>
      </c>
      <c r="L64" s="65" t="s">
        <v>517</v>
      </c>
      <c r="M64" s="62"/>
      <c r="N64" s="66" t="s">
        <v>325</v>
      </c>
      <c r="O64" s="62" t="s">
        <v>319</v>
      </c>
      <c r="P64" s="63" t="s">
        <v>209</v>
      </c>
      <c r="Q64" s="64" t="s">
        <v>221</v>
      </c>
      <c r="R64" s="64"/>
    </row>
    <row r="65" customFormat="false" ht="15" hidden="false" customHeight="true" outlineLevel="0" collapsed="false">
      <c r="A65" s="57" t="n">
        <v>64</v>
      </c>
      <c r="B65" s="30" t="s">
        <v>518</v>
      </c>
      <c r="C65" s="30" t="s">
        <v>519</v>
      </c>
      <c r="D65" s="30" t="s">
        <v>520</v>
      </c>
      <c r="E65" s="30" t="s">
        <v>207</v>
      </c>
      <c r="F65" s="58"/>
      <c r="G65" s="59" t="s">
        <v>521</v>
      </c>
      <c r="H65" s="30" t="s">
        <v>291</v>
      </c>
      <c r="I65" s="57" t="s">
        <v>522</v>
      </c>
      <c r="J65" s="58" t="n">
        <v>46203</v>
      </c>
      <c r="K65" s="57" t="str">
        <f aca="false">IF($F65="","",IF(AND($F65&gt;=集計!$B$1,$F65&lt;=集計!$B$2),1,0))</f>
        <v/>
      </c>
      <c r="L65" s="59" t="s">
        <v>523</v>
      </c>
      <c r="M65" s="62"/>
      <c r="N65" s="66" t="s">
        <v>325</v>
      </c>
      <c r="O65" s="62" t="s">
        <v>319</v>
      </c>
      <c r="P65" s="63" t="s">
        <v>209</v>
      </c>
      <c r="Q65" s="64" t="s">
        <v>221</v>
      </c>
      <c r="R65" s="64"/>
    </row>
    <row r="66" customFormat="false" ht="15" hidden="false" customHeight="true" outlineLevel="0" collapsed="false">
      <c r="A66" s="57" t="n">
        <v>65</v>
      </c>
      <c r="B66" s="30" t="s">
        <v>103</v>
      </c>
      <c r="C66" s="30" t="s">
        <v>55</v>
      </c>
      <c r="D66" s="30" t="s">
        <v>524</v>
      </c>
      <c r="E66" s="30" t="s">
        <v>207</v>
      </c>
      <c r="F66" s="58"/>
      <c r="G66" s="65" t="s">
        <v>525</v>
      </c>
      <c r="H66" s="30" t="s">
        <v>291</v>
      </c>
      <c r="I66" s="57" t="s">
        <v>526</v>
      </c>
      <c r="J66" s="58" t="n">
        <v>46203</v>
      </c>
      <c r="K66" s="57" t="str">
        <f aca="false">IF($F66="","",IF(AND($F66&gt;=集計!$B$1,$F66&lt;=集計!$B$2),1,0))</f>
        <v/>
      </c>
      <c r="L66" s="65" t="s">
        <v>527</v>
      </c>
      <c r="M66" s="62"/>
      <c r="N66" s="66" t="s">
        <v>325</v>
      </c>
      <c r="O66" s="62" t="s">
        <v>319</v>
      </c>
      <c r="P66" s="63" t="s">
        <v>209</v>
      </c>
      <c r="Q66" s="64" t="s">
        <v>221</v>
      </c>
      <c r="R66" s="64"/>
    </row>
    <row r="67" customFormat="false" ht="15" hidden="false" customHeight="true" outlineLevel="0" collapsed="false">
      <c r="A67" s="57" t="n">
        <v>66</v>
      </c>
      <c r="B67" s="30" t="s">
        <v>109</v>
      </c>
      <c r="C67" s="30" t="s">
        <v>55</v>
      </c>
      <c r="D67" s="30" t="s">
        <v>528</v>
      </c>
      <c r="E67" s="30" t="s">
        <v>207</v>
      </c>
      <c r="F67" s="58"/>
      <c r="G67" s="65" t="s">
        <v>529</v>
      </c>
      <c r="H67" s="30" t="s">
        <v>291</v>
      </c>
      <c r="I67" s="57" t="s">
        <v>530</v>
      </c>
      <c r="J67" s="58" t="n">
        <v>46203</v>
      </c>
      <c r="K67" s="57" t="str">
        <f aca="false">IF($F67="","",IF(AND($F67&gt;=集計!$B$1,$F67&lt;=集計!$B$2),1,0))</f>
        <v/>
      </c>
      <c r="L67" s="65" t="s">
        <v>531</v>
      </c>
      <c r="M67" s="62"/>
      <c r="N67" s="66" t="s">
        <v>325</v>
      </c>
      <c r="O67" s="62" t="s">
        <v>319</v>
      </c>
      <c r="P67" s="63" t="s">
        <v>209</v>
      </c>
      <c r="Q67" s="64" t="s">
        <v>221</v>
      </c>
      <c r="R67" s="64"/>
      <c r="S67" s="64" t="s">
        <v>482</v>
      </c>
      <c r="T67" s="68" t="s">
        <v>483</v>
      </c>
    </row>
    <row r="68" customFormat="false" ht="15" hidden="false" customHeight="true" outlineLevel="0" collapsed="false">
      <c r="A68" s="57" t="n">
        <v>67</v>
      </c>
      <c r="B68" s="30" t="s">
        <v>115</v>
      </c>
      <c r="C68" s="30" t="s">
        <v>55</v>
      </c>
      <c r="D68" s="30" t="s">
        <v>532</v>
      </c>
      <c r="E68" s="30" t="s">
        <v>207</v>
      </c>
      <c r="F68" s="58"/>
      <c r="G68" s="65" t="s">
        <v>533</v>
      </c>
      <c r="H68" s="30" t="s">
        <v>291</v>
      </c>
      <c r="I68" s="57" t="s">
        <v>534</v>
      </c>
      <c r="J68" s="58" t="n">
        <v>46203</v>
      </c>
      <c r="K68" s="57" t="str">
        <f aca="false">IF($F68="","",IF(AND($F68&gt;=集計!$B$1,$F68&lt;=集計!$B$2),1,0))</f>
        <v/>
      </c>
      <c r="L68" s="65" t="s">
        <v>535</v>
      </c>
      <c r="M68" s="62"/>
      <c r="N68" s="66" t="s">
        <v>325</v>
      </c>
      <c r="O68" s="62" t="s">
        <v>319</v>
      </c>
      <c r="P68" s="63" t="s">
        <v>209</v>
      </c>
      <c r="Q68" s="64" t="s">
        <v>221</v>
      </c>
      <c r="R68" s="64"/>
      <c r="S68" s="64"/>
    </row>
    <row r="69" customFormat="false" ht="15" hidden="false" customHeight="true" outlineLevel="0" collapsed="false">
      <c r="A69" s="57" t="n">
        <v>68</v>
      </c>
      <c r="B69" s="30" t="s">
        <v>112</v>
      </c>
      <c r="C69" s="30" t="s">
        <v>55</v>
      </c>
      <c r="D69" s="30" t="s">
        <v>536</v>
      </c>
      <c r="E69" s="30" t="s">
        <v>207</v>
      </c>
      <c r="F69" s="58"/>
      <c r="G69" s="65" t="s">
        <v>537</v>
      </c>
      <c r="H69" s="30" t="s">
        <v>291</v>
      </c>
      <c r="I69" s="57" t="s">
        <v>538</v>
      </c>
      <c r="J69" s="58" t="n">
        <v>46203</v>
      </c>
      <c r="K69" s="57" t="str">
        <f aca="false">IF($F69="","",IF(AND($F69&gt;=集計!$B$1,$F69&lt;=集計!$B$2),1,0))</f>
        <v/>
      </c>
      <c r="L69" s="65" t="s">
        <v>539</v>
      </c>
      <c r="M69" s="62"/>
      <c r="N69" s="66" t="s">
        <v>325</v>
      </c>
      <c r="O69" s="62" t="s">
        <v>319</v>
      </c>
      <c r="P69" s="63" t="s">
        <v>209</v>
      </c>
      <c r="Q69" s="64" t="s">
        <v>221</v>
      </c>
      <c r="R69" s="64"/>
      <c r="S69" s="64"/>
    </row>
    <row r="70" customFormat="false" ht="15" hidden="false" customHeight="true" outlineLevel="0" collapsed="false">
      <c r="A70" s="57" t="n">
        <v>69</v>
      </c>
      <c r="B70" s="30" t="s">
        <v>127</v>
      </c>
      <c r="C70" s="30" t="s">
        <v>55</v>
      </c>
      <c r="D70" s="30" t="s">
        <v>540</v>
      </c>
      <c r="E70" s="30" t="s">
        <v>207</v>
      </c>
      <c r="F70" s="58"/>
      <c r="G70" s="65" t="s">
        <v>541</v>
      </c>
      <c r="H70" s="30" t="s">
        <v>291</v>
      </c>
      <c r="I70" s="57" t="s">
        <v>542</v>
      </c>
      <c r="J70" s="58" t="n">
        <v>46203</v>
      </c>
      <c r="K70" s="57" t="str">
        <f aca="false">IF($F70="","",IF(AND($F70&gt;=集計!$B$1,$F70&lt;=集計!$B$2),1,0))</f>
        <v/>
      </c>
      <c r="L70" s="65" t="s">
        <v>543</v>
      </c>
      <c r="M70" s="62"/>
      <c r="N70" s="66" t="s">
        <v>325</v>
      </c>
      <c r="O70" s="62" t="s">
        <v>319</v>
      </c>
      <c r="P70" s="63" t="s">
        <v>209</v>
      </c>
      <c r="Q70" s="64" t="s">
        <v>221</v>
      </c>
      <c r="R70" s="62"/>
      <c r="S70" s="62"/>
      <c r="T70" s="69" t="s">
        <v>505</v>
      </c>
    </row>
    <row r="71" customFormat="false" ht="15" hidden="false" customHeight="true" outlineLevel="0" collapsed="false">
      <c r="A71" s="30" t="n">
        <v>70</v>
      </c>
      <c r="B71" s="30" t="s">
        <v>544</v>
      </c>
      <c r="C71" s="30" t="s">
        <v>519</v>
      </c>
      <c r="D71" s="30" t="s">
        <v>545</v>
      </c>
      <c r="E71" s="30" t="s">
        <v>207</v>
      </c>
      <c r="F71" s="58"/>
      <c r="G71" s="65" t="s">
        <v>546</v>
      </c>
      <c r="H71" s="30" t="s">
        <v>296</v>
      </c>
      <c r="I71" s="57" t="s">
        <v>547</v>
      </c>
      <c r="J71" s="58" t="n">
        <v>46203</v>
      </c>
      <c r="K71" s="30" t="str">
        <f aca="false">IF($F71="","",IF(AND($F71&gt;=集計!$B$1,$F71&lt;=集計!$B$2),1,0))</f>
        <v/>
      </c>
      <c r="L71" s="43" t="s">
        <v>548</v>
      </c>
      <c r="M71" s="62"/>
      <c r="N71" s="67" t="s">
        <v>318</v>
      </c>
      <c r="O71" s="62" t="s">
        <v>319</v>
      </c>
      <c r="P71" s="63" t="s">
        <v>214</v>
      </c>
      <c r="Q71" s="64" t="s">
        <v>221</v>
      </c>
      <c r="R71" s="62"/>
      <c r="S71" s="62"/>
    </row>
    <row r="72" customFormat="false" ht="15" hidden="false" customHeight="true" outlineLevel="0" collapsed="false">
      <c r="A72" s="30" t="n">
        <v>71</v>
      </c>
      <c r="B72" s="30" t="s">
        <v>127</v>
      </c>
      <c r="C72" s="30" t="s">
        <v>55</v>
      </c>
      <c r="D72" s="30" t="s">
        <v>540</v>
      </c>
      <c r="E72" s="30" t="s">
        <v>207</v>
      </c>
      <c r="F72" s="58"/>
      <c r="G72" s="65" t="s">
        <v>549</v>
      </c>
      <c r="H72" s="30" t="s">
        <v>291</v>
      </c>
      <c r="I72" s="57" t="s">
        <v>550</v>
      </c>
      <c r="J72" s="58" t="n">
        <v>46203</v>
      </c>
      <c r="K72" s="30" t="str">
        <f aca="false">IF($F72="","",IF(AND($F72&gt;=集計!$B$1,$F72&lt;=集計!$B$2),1,0))</f>
        <v/>
      </c>
      <c r="L72" s="65" t="s">
        <v>551</v>
      </c>
      <c r="M72" s="62"/>
      <c r="N72" s="66" t="s">
        <v>325</v>
      </c>
      <c r="O72" s="62" t="s">
        <v>319</v>
      </c>
      <c r="P72" s="63" t="s">
        <v>209</v>
      </c>
      <c r="Q72" s="64" t="s">
        <v>221</v>
      </c>
      <c r="R72" s="62"/>
      <c r="S72" s="62"/>
    </row>
    <row r="73" customFormat="false" ht="15" hidden="false" customHeight="true" outlineLevel="0" collapsed="false">
      <c r="A73" s="30" t="n">
        <v>72</v>
      </c>
      <c r="B73" s="30" t="s">
        <v>100</v>
      </c>
      <c r="C73" s="30" t="s">
        <v>55</v>
      </c>
      <c r="D73" s="30" t="s">
        <v>484</v>
      </c>
      <c r="E73" s="30" t="s">
        <v>207</v>
      </c>
      <c r="F73" s="58" t="n">
        <v>46127</v>
      </c>
      <c r="G73" s="65" t="s">
        <v>552</v>
      </c>
      <c r="H73" s="30" t="s">
        <v>553</v>
      </c>
      <c r="I73" s="57" t="s">
        <v>554</v>
      </c>
      <c r="J73" s="58" t="n">
        <v>46203</v>
      </c>
      <c r="K73" s="30" t="n">
        <f aca="false">IF($F73="","",IF(AND($F73&gt;=集計!$B$1,$F73&lt;=集計!$B$2),1,0))</f>
        <v>1</v>
      </c>
      <c r="L73" s="65" t="s">
        <v>555</v>
      </c>
      <c r="M73" s="60" t="n">
        <v>46143</v>
      </c>
      <c r="N73" s="67" t="s">
        <v>474</v>
      </c>
      <c r="O73" s="62" t="s">
        <v>319</v>
      </c>
      <c r="P73" s="63" t="s">
        <v>211</v>
      </c>
      <c r="Q73" s="64" t="s">
        <v>220</v>
      </c>
      <c r="R73" s="62"/>
      <c r="S73" s="62"/>
    </row>
    <row r="74" customFormat="false" ht="15" hidden="false" customHeight="true" outlineLevel="0" collapsed="false">
      <c r="A74" s="30" t="n">
        <v>73</v>
      </c>
      <c r="B74" s="30" t="s">
        <v>76</v>
      </c>
      <c r="C74" s="30" t="s">
        <v>55</v>
      </c>
      <c r="D74" s="30" t="s">
        <v>556</v>
      </c>
      <c r="E74" s="30" t="s">
        <v>207</v>
      </c>
      <c r="F74" s="58"/>
      <c r="G74" s="65" t="s">
        <v>557</v>
      </c>
      <c r="H74" s="30" t="s">
        <v>291</v>
      </c>
      <c r="I74" s="57" t="s">
        <v>558</v>
      </c>
      <c r="J74" s="58" t="n">
        <v>46203</v>
      </c>
      <c r="K74" s="57" t="str">
        <f aca="false">IF($F74="","",IF(AND($F74&gt;=集計!$B$1,$F74&lt;=集計!$B$2),1,0))</f>
        <v/>
      </c>
      <c r="L74" s="65" t="s">
        <v>559</v>
      </c>
      <c r="M74" s="62"/>
      <c r="N74" s="66" t="s">
        <v>325</v>
      </c>
      <c r="O74" s="62" t="s">
        <v>319</v>
      </c>
      <c r="P74" s="63" t="s">
        <v>209</v>
      </c>
      <c r="Q74" s="64" t="s">
        <v>221</v>
      </c>
      <c r="R74" s="62"/>
      <c r="S74" s="62"/>
      <c r="T74" s="69" t="s">
        <v>505</v>
      </c>
    </row>
    <row r="75" customFormat="false" ht="15" hidden="false" customHeight="true" outlineLevel="0" collapsed="false">
      <c r="A75" s="30" t="n">
        <v>74</v>
      </c>
      <c r="B75" s="30" t="s">
        <v>142</v>
      </c>
      <c r="C75" s="30" t="s">
        <v>55</v>
      </c>
      <c r="D75" s="30" t="s">
        <v>560</v>
      </c>
      <c r="E75" s="30" t="s">
        <v>207</v>
      </c>
      <c r="F75" s="58"/>
      <c r="G75" s="65" t="s">
        <v>561</v>
      </c>
      <c r="H75" s="30" t="s">
        <v>291</v>
      </c>
      <c r="I75" s="57" t="s">
        <v>562</v>
      </c>
      <c r="J75" s="58" t="n">
        <v>46203</v>
      </c>
      <c r="K75" s="57" t="str">
        <f aca="false">IF($F75="","",IF(AND($F75&gt;=集計!$B$1,$F75&lt;=集計!$B$2),1,0))</f>
        <v/>
      </c>
      <c r="L75" s="65" t="s">
        <v>563</v>
      </c>
      <c r="M75" s="62"/>
      <c r="N75" s="66" t="s">
        <v>325</v>
      </c>
      <c r="O75" s="62" t="s">
        <v>319</v>
      </c>
      <c r="P75" s="63" t="s">
        <v>209</v>
      </c>
      <c r="Q75" s="64" t="s">
        <v>221</v>
      </c>
      <c r="R75" s="62"/>
      <c r="S75" s="62"/>
      <c r="T75" s="70" t="s">
        <v>564</v>
      </c>
    </row>
    <row r="76" customFormat="false" ht="15" hidden="false" customHeight="true" outlineLevel="0" collapsed="false">
      <c r="A76" s="30" t="n">
        <v>75</v>
      </c>
      <c r="B76" s="30" t="s">
        <v>145</v>
      </c>
      <c r="C76" s="30" t="s">
        <v>55</v>
      </c>
      <c r="D76" s="30" t="s">
        <v>565</v>
      </c>
      <c r="E76" s="30" t="s">
        <v>207</v>
      </c>
      <c r="F76" s="58"/>
      <c r="G76" s="65" t="s">
        <v>561</v>
      </c>
      <c r="H76" s="30" t="s">
        <v>291</v>
      </c>
      <c r="I76" s="57" t="s">
        <v>566</v>
      </c>
      <c r="J76" s="58" t="n">
        <v>46203</v>
      </c>
      <c r="K76" s="57" t="str">
        <f aca="false">IF($F76="","",IF(AND($F76&gt;=集計!$B$1,$F76&lt;=集計!$B$2),1,0))</f>
        <v/>
      </c>
      <c r="L76" s="65" t="s">
        <v>567</v>
      </c>
      <c r="M76" s="62"/>
      <c r="N76" s="66" t="s">
        <v>325</v>
      </c>
      <c r="O76" s="62" t="s">
        <v>319</v>
      </c>
      <c r="P76" s="63" t="s">
        <v>209</v>
      </c>
      <c r="Q76" s="64" t="s">
        <v>221</v>
      </c>
      <c r="R76" s="62"/>
      <c r="S76" s="62"/>
      <c r="T76" s="70" t="s">
        <v>564</v>
      </c>
    </row>
    <row r="77" customFormat="false" ht="15" hidden="false" customHeight="true" outlineLevel="0" collapsed="false">
      <c r="A77" s="30" t="n">
        <v>76</v>
      </c>
      <c r="B77" s="30" t="s">
        <v>139</v>
      </c>
      <c r="C77" s="30" t="s">
        <v>55</v>
      </c>
      <c r="D77" s="30" t="s">
        <v>568</v>
      </c>
      <c r="E77" s="30" t="s">
        <v>207</v>
      </c>
      <c r="F77" s="58"/>
      <c r="G77" s="65" t="s">
        <v>561</v>
      </c>
      <c r="H77" s="30" t="s">
        <v>291</v>
      </c>
      <c r="I77" s="57" t="s">
        <v>569</v>
      </c>
      <c r="J77" s="58" t="n">
        <v>46203</v>
      </c>
      <c r="K77" s="57" t="str">
        <f aca="false">IF($F77="","",IF(AND($F77&gt;=集計!$B$1,$F77&lt;=集計!$B$2),1,0))</f>
        <v/>
      </c>
      <c r="L77" s="65" t="s">
        <v>570</v>
      </c>
      <c r="M77" s="62"/>
      <c r="N77" s="66" t="s">
        <v>325</v>
      </c>
      <c r="O77" s="62" t="s">
        <v>319</v>
      </c>
      <c r="P77" s="63" t="s">
        <v>209</v>
      </c>
      <c r="Q77" s="64" t="s">
        <v>221</v>
      </c>
      <c r="R77" s="62"/>
      <c r="S77" s="62"/>
      <c r="T77" s="70" t="s">
        <v>564</v>
      </c>
    </row>
    <row r="78" customFormat="false" ht="15" hidden="false" customHeight="true" outlineLevel="0" collapsed="false">
      <c r="A78" s="30" t="n">
        <v>77</v>
      </c>
      <c r="B78" s="30" t="s">
        <v>136</v>
      </c>
      <c r="C78" s="30" t="s">
        <v>55</v>
      </c>
      <c r="D78" s="30" t="s">
        <v>571</v>
      </c>
      <c r="E78" s="30" t="s">
        <v>207</v>
      </c>
      <c r="F78" s="58"/>
      <c r="G78" s="65" t="s">
        <v>561</v>
      </c>
      <c r="H78" s="30" t="s">
        <v>291</v>
      </c>
      <c r="I78" s="57" t="s">
        <v>572</v>
      </c>
      <c r="J78" s="58" t="n">
        <v>46203</v>
      </c>
      <c r="K78" s="57" t="str">
        <f aca="false">IF($F78="","",IF(AND($F78&gt;=集計!$B$1,$F78&lt;=集計!$B$2),1,0))</f>
        <v/>
      </c>
      <c r="L78" s="65" t="s">
        <v>570</v>
      </c>
      <c r="M78" s="62"/>
      <c r="N78" s="66" t="s">
        <v>325</v>
      </c>
      <c r="O78" s="62" t="s">
        <v>319</v>
      </c>
      <c r="P78" s="63" t="s">
        <v>209</v>
      </c>
      <c r="Q78" s="64" t="s">
        <v>221</v>
      </c>
      <c r="R78" s="62"/>
      <c r="S78" s="62"/>
      <c r="T78" s="70" t="s">
        <v>564</v>
      </c>
    </row>
    <row r="79" customFormat="false" ht="15" hidden="false" customHeight="true" outlineLevel="0" collapsed="false">
      <c r="A79" s="30" t="n">
        <v>78</v>
      </c>
      <c r="B79" s="30" t="s">
        <v>148</v>
      </c>
      <c r="C79" s="30" t="s">
        <v>55</v>
      </c>
      <c r="D79" s="30" t="s">
        <v>573</v>
      </c>
      <c r="E79" s="30" t="s">
        <v>207</v>
      </c>
      <c r="F79" s="58"/>
      <c r="G79" s="65" t="s">
        <v>561</v>
      </c>
      <c r="H79" s="30" t="s">
        <v>291</v>
      </c>
      <c r="I79" s="57" t="s">
        <v>574</v>
      </c>
      <c r="J79" s="58" t="n">
        <v>46203</v>
      </c>
      <c r="K79" s="57" t="str">
        <f aca="false">IF($F79="","",IF(AND($F79&gt;=集計!$B$1,$F79&lt;=集計!$B$2),1,0))</f>
        <v/>
      </c>
      <c r="L79" s="65" t="s">
        <v>570</v>
      </c>
      <c r="M79" s="62"/>
      <c r="N79" s="66" t="s">
        <v>325</v>
      </c>
      <c r="O79" s="62" t="s">
        <v>319</v>
      </c>
      <c r="P79" s="63" t="s">
        <v>209</v>
      </c>
      <c r="Q79" s="64" t="s">
        <v>221</v>
      </c>
      <c r="R79" s="62"/>
      <c r="S79" s="62"/>
      <c r="T79" s="70" t="s">
        <v>564</v>
      </c>
    </row>
    <row r="80" customFormat="false" ht="15" hidden="false" customHeight="true" outlineLevel="0" collapsed="false">
      <c r="A80" s="30" t="n">
        <v>79</v>
      </c>
      <c r="B80" s="30" t="s">
        <v>151</v>
      </c>
      <c r="C80" s="30" t="s">
        <v>55</v>
      </c>
      <c r="D80" s="30" t="s">
        <v>575</v>
      </c>
      <c r="E80" s="30" t="s">
        <v>207</v>
      </c>
      <c r="F80" s="58"/>
      <c r="G80" s="65" t="s">
        <v>561</v>
      </c>
      <c r="H80" s="30" t="s">
        <v>291</v>
      </c>
      <c r="I80" s="57" t="s">
        <v>576</v>
      </c>
      <c r="J80" s="58" t="n">
        <v>46203</v>
      </c>
      <c r="K80" s="57" t="str">
        <f aca="false">IF($F80="","",IF(AND($F80&gt;=集計!$B$1,$F80&lt;=集計!$B$2),1,0))</f>
        <v/>
      </c>
      <c r="L80" s="65" t="s">
        <v>570</v>
      </c>
      <c r="M80" s="62"/>
      <c r="N80" s="66" t="s">
        <v>325</v>
      </c>
      <c r="O80" s="62" t="s">
        <v>319</v>
      </c>
      <c r="P80" s="63" t="s">
        <v>209</v>
      </c>
      <c r="Q80" s="64" t="s">
        <v>221</v>
      </c>
      <c r="R80" s="62"/>
      <c r="S80" s="62"/>
      <c r="T80" s="70" t="s">
        <v>564</v>
      </c>
    </row>
    <row r="81" customFormat="false" ht="15" hidden="false" customHeight="true" outlineLevel="0" collapsed="false">
      <c r="A81" s="30" t="n">
        <v>80</v>
      </c>
      <c r="B81" s="30" t="s">
        <v>163</v>
      </c>
      <c r="C81" s="30" t="s">
        <v>55</v>
      </c>
      <c r="D81" s="30" t="s">
        <v>577</v>
      </c>
      <c r="E81" s="30" t="s">
        <v>207</v>
      </c>
      <c r="F81" s="58"/>
      <c r="G81" s="65" t="s">
        <v>561</v>
      </c>
      <c r="H81" s="30" t="s">
        <v>291</v>
      </c>
      <c r="I81" s="57" t="s">
        <v>578</v>
      </c>
      <c r="J81" s="58" t="n">
        <v>46203</v>
      </c>
      <c r="K81" s="57" t="str">
        <f aca="false">IF($F81="","",IF(AND($F81&gt;=集計!$B$1,$F81&lt;=集計!$B$2),1,0))</f>
        <v/>
      </c>
      <c r="L81" s="65" t="s">
        <v>579</v>
      </c>
      <c r="M81" s="62"/>
      <c r="N81" s="66" t="s">
        <v>325</v>
      </c>
      <c r="O81" s="62" t="s">
        <v>319</v>
      </c>
      <c r="P81" s="63" t="s">
        <v>209</v>
      </c>
      <c r="Q81" s="64" t="s">
        <v>221</v>
      </c>
      <c r="R81" s="62"/>
      <c r="S81" s="62"/>
      <c r="T81" s="70" t="s">
        <v>564</v>
      </c>
    </row>
    <row r="82" customFormat="false" ht="15" hidden="false" customHeight="true" outlineLevel="0" collapsed="false">
      <c r="A82" s="30" t="n">
        <v>81</v>
      </c>
      <c r="B82" s="30" t="s">
        <v>160</v>
      </c>
      <c r="C82" s="30" t="s">
        <v>55</v>
      </c>
      <c r="D82" s="30" t="s">
        <v>580</v>
      </c>
      <c r="E82" s="30" t="s">
        <v>207</v>
      </c>
      <c r="F82" s="58"/>
      <c r="G82" s="65" t="s">
        <v>561</v>
      </c>
      <c r="H82" s="30" t="s">
        <v>291</v>
      </c>
      <c r="I82" s="57" t="s">
        <v>581</v>
      </c>
      <c r="J82" s="58" t="n">
        <v>46203</v>
      </c>
      <c r="K82" s="57" t="str">
        <f aca="false">IF($F82="","",IF(AND($F82&gt;=集計!$B$1,$F82&lt;=集計!$B$2),1,0))</f>
        <v/>
      </c>
      <c r="L82" s="65" t="s">
        <v>570</v>
      </c>
      <c r="M82" s="62"/>
      <c r="N82" s="66" t="s">
        <v>325</v>
      </c>
      <c r="O82" s="62" t="s">
        <v>319</v>
      </c>
      <c r="P82" s="63" t="s">
        <v>209</v>
      </c>
      <c r="Q82" s="64" t="s">
        <v>221</v>
      </c>
      <c r="R82" s="62"/>
      <c r="S82" s="62"/>
      <c r="T82" s="70" t="s">
        <v>564</v>
      </c>
    </row>
    <row r="83" customFormat="false" ht="15" hidden="false" customHeight="true" outlineLevel="0" collapsed="false">
      <c r="A83" s="30" t="n">
        <v>82</v>
      </c>
      <c r="B83" s="30" t="s">
        <v>166</v>
      </c>
      <c r="C83" s="30" t="s">
        <v>55</v>
      </c>
      <c r="D83" s="30" t="s">
        <v>582</v>
      </c>
      <c r="E83" s="30" t="s">
        <v>207</v>
      </c>
      <c r="F83" s="58"/>
      <c r="G83" s="65" t="s">
        <v>561</v>
      </c>
      <c r="H83" s="30" t="s">
        <v>291</v>
      </c>
      <c r="I83" s="57" t="s">
        <v>583</v>
      </c>
      <c r="J83" s="58" t="n">
        <v>46203</v>
      </c>
      <c r="K83" s="57" t="str">
        <f aca="false">IF($F83="","",IF(AND($F83&gt;=集計!$B$1,$F83&lt;=集計!$B$2),1,0))</f>
        <v/>
      </c>
      <c r="L83" s="65" t="s">
        <v>570</v>
      </c>
      <c r="M83" s="62"/>
      <c r="N83" s="66" t="s">
        <v>325</v>
      </c>
      <c r="O83" s="62" t="s">
        <v>319</v>
      </c>
      <c r="P83" s="63" t="s">
        <v>209</v>
      </c>
      <c r="Q83" s="64" t="s">
        <v>221</v>
      </c>
      <c r="R83" s="62"/>
      <c r="S83" s="62"/>
      <c r="T83" s="70" t="s">
        <v>564</v>
      </c>
    </row>
    <row r="84" customFormat="false" ht="15" hidden="false" customHeight="true" outlineLevel="0" collapsed="false">
      <c r="A84" s="30" t="n">
        <v>83</v>
      </c>
      <c r="B84" s="30" t="s">
        <v>154</v>
      </c>
      <c r="C84" s="30" t="s">
        <v>55</v>
      </c>
      <c r="D84" s="30" t="s">
        <v>584</v>
      </c>
      <c r="E84" s="30" t="s">
        <v>207</v>
      </c>
      <c r="F84" s="58"/>
      <c r="G84" s="65" t="s">
        <v>561</v>
      </c>
      <c r="H84" s="30" t="s">
        <v>291</v>
      </c>
      <c r="I84" s="57" t="s">
        <v>585</v>
      </c>
      <c r="J84" s="58" t="n">
        <v>46203</v>
      </c>
      <c r="K84" s="57" t="str">
        <f aca="false">IF($F84="","",IF(AND($F84&gt;=集計!$B$1,$F84&lt;=集計!$B$2),1,0))</f>
        <v/>
      </c>
      <c r="L84" s="65" t="s">
        <v>570</v>
      </c>
      <c r="M84" s="62"/>
      <c r="N84" s="66" t="s">
        <v>325</v>
      </c>
      <c r="O84" s="62" t="s">
        <v>319</v>
      </c>
      <c r="P84" s="63" t="s">
        <v>209</v>
      </c>
      <c r="Q84" s="64" t="s">
        <v>221</v>
      </c>
      <c r="R84" s="62"/>
      <c r="S84" s="62"/>
      <c r="T84" s="70" t="s">
        <v>564</v>
      </c>
    </row>
    <row r="85" customFormat="false" ht="15" hidden="false" customHeight="true" outlineLevel="0" collapsed="false">
      <c r="A85" s="30" t="n">
        <v>84</v>
      </c>
      <c r="B85" s="30" t="s">
        <v>157</v>
      </c>
      <c r="C85" s="30" t="s">
        <v>55</v>
      </c>
      <c r="D85" s="30" t="s">
        <v>586</v>
      </c>
      <c r="E85" s="30" t="s">
        <v>207</v>
      </c>
      <c r="F85" s="58"/>
      <c r="G85" s="65" t="s">
        <v>561</v>
      </c>
      <c r="H85" s="30" t="s">
        <v>291</v>
      </c>
      <c r="I85" s="57" t="s">
        <v>587</v>
      </c>
      <c r="J85" s="58" t="n">
        <v>46203</v>
      </c>
      <c r="K85" s="57" t="str">
        <f aca="false">IF($F85="","",IF(AND($F85&gt;=集計!$B$1,$F85&lt;=集計!$B$2),1,0))</f>
        <v/>
      </c>
      <c r="L85" s="65" t="s">
        <v>570</v>
      </c>
      <c r="M85" s="62"/>
      <c r="N85" s="66" t="s">
        <v>325</v>
      </c>
      <c r="O85" s="62" t="s">
        <v>319</v>
      </c>
      <c r="P85" s="63" t="s">
        <v>209</v>
      </c>
      <c r="Q85" s="64" t="s">
        <v>221</v>
      </c>
      <c r="R85" s="62"/>
      <c r="S85" s="62"/>
      <c r="T85" s="70" t="s">
        <v>564</v>
      </c>
    </row>
    <row r="86" customFormat="false" ht="15" hidden="false" customHeight="true" outlineLevel="0" collapsed="false">
      <c r="A86" s="30" t="n">
        <v>85</v>
      </c>
      <c r="B86" s="30" t="s">
        <v>199</v>
      </c>
      <c r="C86" s="30" t="s">
        <v>55</v>
      </c>
      <c r="D86" s="30" t="s">
        <v>588</v>
      </c>
      <c r="E86" s="30" t="s">
        <v>207</v>
      </c>
      <c r="F86" s="58"/>
      <c r="G86" s="65" t="s">
        <v>589</v>
      </c>
      <c r="H86" s="30" t="s">
        <v>291</v>
      </c>
      <c r="I86" s="57" t="s">
        <v>590</v>
      </c>
      <c r="J86" s="58" t="n">
        <v>46203</v>
      </c>
      <c r="K86" s="57" t="str">
        <f aca="false">IF($F86="","",IF(AND($F86&gt;=集計!$B$1,$F86&lt;=集計!$B$2),1,0))</f>
        <v/>
      </c>
      <c r="L86" s="65" t="s">
        <v>591</v>
      </c>
      <c r="M86" s="62"/>
      <c r="N86" s="66" t="s">
        <v>325</v>
      </c>
      <c r="O86" s="62" t="s">
        <v>319</v>
      </c>
      <c r="P86" s="63" t="s">
        <v>209</v>
      </c>
      <c r="Q86" s="64" t="s">
        <v>221</v>
      </c>
      <c r="R86" s="71" t="s">
        <v>482</v>
      </c>
      <c r="S86" s="71" t="s">
        <v>482</v>
      </c>
      <c r="T86" s="67" t="s">
        <v>483</v>
      </c>
    </row>
    <row r="87" customFormat="false" ht="15" hidden="false" customHeight="true" outlineLevel="0" collapsed="false">
      <c r="A87" s="30" t="n">
        <v>86</v>
      </c>
      <c r="B87" s="30" t="s">
        <v>172</v>
      </c>
      <c r="C87" s="30" t="s">
        <v>55</v>
      </c>
      <c r="D87" s="30" t="s">
        <v>592</v>
      </c>
      <c r="E87" s="30" t="s">
        <v>207</v>
      </c>
      <c r="F87" s="58"/>
      <c r="G87" s="65" t="s">
        <v>561</v>
      </c>
      <c r="H87" s="30" t="s">
        <v>291</v>
      </c>
      <c r="I87" s="57" t="s">
        <v>593</v>
      </c>
      <c r="J87" s="58" t="n">
        <v>46203</v>
      </c>
      <c r="K87" s="57" t="str">
        <f aca="false">IF($F87="","",IF(AND($F87&gt;=集計!$B$1,$F87&lt;=集計!$B$2),1,0))</f>
        <v/>
      </c>
      <c r="L87" s="65" t="s">
        <v>594</v>
      </c>
      <c r="M87" s="62"/>
      <c r="N87" s="66" t="s">
        <v>325</v>
      </c>
      <c r="O87" s="62" t="s">
        <v>319</v>
      </c>
      <c r="P87" s="63" t="s">
        <v>209</v>
      </c>
      <c r="Q87" s="64" t="s">
        <v>221</v>
      </c>
      <c r="R87" s="62"/>
      <c r="S87" s="62"/>
      <c r="T87" s="70" t="s">
        <v>564</v>
      </c>
    </row>
    <row r="88" customFormat="false" ht="15" hidden="false" customHeight="true" outlineLevel="0" collapsed="false">
      <c r="A88" s="30" t="n">
        <v>87</v>
      </c>
      <c r="B88" s="30" t="s">
        <v>175</v>
      </c>
      <c r="C88" s="30" t="s">
        <v>55</v>
      </c>
      <c r="D88" s="30" t="s">
        <v>595</v>
      </c>
      <c r="E88" s="30" t="s">
        <v>207</v>
      </c>
      <c r="F88" s="58"/>
      <c r="G88" s="65" t="s">
        <v>561</v>
      </c>
      <c r="H88" s="30" t="s">
        <v>291</v>
      </c>
      <c r="I88" s="57" t="s">
        <v>596</v>
      </c>
      <c r="J88" s="58" t="n">
        <v>46203</v>
      </c>
      <c r="K88" s="57" t="str">
        <f aca="false">IF($F88="","",IF(AND($F88&gt;=集計!$B$1,$F88&lt;=集計!$B$2),1,0))</f>
        <v/>
      </c>
      <c r="L88" s="65" t="s">
        <v>594</v>
      </c>
      <c r="M88" s="62"/>
      <c r="N88" s="66" t="s">
        <v>325</v>
      </c>
      <c r="O88" s="62" t="s">
        <v>319</v>
      </c>
      <c r="P88" s="63" t="s">
        <v>209</v>
      </c>
      <c r="Q88" s="64" t="s">
        <v>221</v>
      </c>
      <c r="R88" s="62"/>
      <c r="S88" s="62"/>
      <c r="T88" s="70" t="s">
        <v>564</v>
      </c>
    </row>
    <row r="89" customFormat="false" ht="15" hidden="false" customHeight="true" outlineLevel="0" collapsed="false">
      <c r="A89" s="30" t="n">
        <v>88</v>
      </c>
      <c r="B89" s="30" t="s">
        <v>178</v>
      </c>
      <c r="C89" s="30" t="s">
        <v>55</v>
      </c>
      <c r="D89" s="30" t="s">
        <v>597</v>
      </c>
      <c r="E89" s="30" t="s">
        <v>207</v>
      </c>
      <c r="F89" s="58"/>
      <c r="G89" s="65" t="s">
        <v>561</v>
      </c>
      <c r="H89" s="30" t="s">
        <v>291</v>
      </c>
      <c r="I89" s="57" t="s">
        <v>598</v>
      </c>
      <c r="J89" s="58" t="n">
        <v>46203</v>
      </c>
      <c r="K89" s="57" t="str">
        <f aca="false">IF($F89="","",IF(AND($F89&gt;=集計!$B$1,$F89&lt;=集計!$B$2),1,0))</f>
        <v/>
      </c>
      <c r="L89" s="65" t="s">
        <v>594</v>
      </c>
      <c r="M89" s="62"/>
      <c r="N89" s="66" t="s">
        <v>325</v>
      </c>
      <c r="O89" s="62" t="s">
        <v>319</v>
      </c>
      <c r="P89" s="63" t="s">
        <v>209</v>
      </c>
      <c r="Q89" s="64" t="s">
        <v>221</v>
      </c>
      <c r="R89" s="62"/>
      <c r="S89" s="62"/>
      <c r="T89" s="70" t="s">
        <v>564</v>
      </c>
    </row>
    <row r="90" customFormat="false" ht="15" hidden="false" customHeight="true" outlineLevel="0" collapsed="false">
      <c r="A90" s="30" t="n">
        <v>89</v>
      </c>
      <c r="B90" s="30" t="s">
        <v>181</v>
      </c>
      <c r="C90" s="30" t="s">
        <v>55</v>
      </c>
      <c r="D90" s="30" t="s">
        <v>599</v>
      </c>
      <c r="E90" s="30" t="s">
        <v>207</v>
      </c>
      <c r="F90" s="58"/>
      <c r="G90" s="65" t="s">
        <v>561</v>
      </c>
      <c r="H90" s="30" t="s">
        <v>291</v>
      </c>
      <c r="I90" s="57" t="s">
        <v>600</v>
      </c>
      <c r="J90" s="58" t="n">
        <v>46203</v>
      </c>
      <c r="K90" s="57" t="str">
        <f aca="false">IF($F90="","",IF(AND($F90&gt;=集計!$B$1,$F90&lt;=集計!$B$2),1,0))</f>
        <v/>
      </c>
      <c r="L90" s="65" t="s">
        <v>594</v>
      </c>
      <c r="M90" s="62"/>
      <c r="N90" s="66" t="s">
        <v>325</v>
      </c>
      <c r="O90" s="62" t="s">
        <v>319</v>
      </c>
      <c r="P90" s="63" t="s">
        <v>209</v>
      </c>
      <c r="Q90" s="64" t="s">
        <v>221</v>
      </c>
      <c r="R90" s="62"/>
      <c r="S90" s="62"/>
      <c r="T90" s="70" t="s">
        <v>564</v>
      </c>
    </row>
    <row r="91" customFormat="false" ht="15" hidden="false" customHeight="true" outlineLevel="0" collapsed="false">
      <c r="A91" s="30" t="n">
        <v>90</v>
      </c>
      <c r="B91" s="30" t="s">
        <v>184</v>
      </c>
      <c r="C91" s="30" t="s">
        <v>55</v>
      </c>
      <c r="D91" s="30" t="s">
        <v>601</v>
      </c>
      <c r="E91" s="30" t="s">
        <v>207</v>
      </c>
      <c r="F91" s="58"/>
      <c r="G91" s="65" t="s">
        <v>561</v>
      </c>
      <c r="H91" s="30" t="s">
        <v>291</v>
      </c>
      <c r="I91" s="57" t="s">
        <v>602</v>
      </c>
      <c r="J91" s="58" t="n">
        <v>46203</v>
      </c>
      <c r="K91" s="57" t="str">
        <f aca="false">IF($F91="","",IF(AND($F91&gt;=集計!$B$1,$F91&lt;=集計!$B$2),1,0))</f>
        <v/>
      </c>
      <c r="L91" s="65" t="s">
        <v>594</v>
      </c>
      <c r="M91" s="62"/>
      <c r="N91" s="66" t="s">
        <v>325</v>
      </c>
      <c r="O91" s="62" t="s">
        <v>319</v>
      </c>
      <c r="P91" s="63" t="s">
        <v>209</v>
      </c>
      <c r="Q91" s="64" t="s">
        <v>221</v>
      </c>
      <c r="R91" s="62"/>
      <c r="S91" s="62"/>
      <c r="T91" s="70" t="s">
        <v>564</v>
      </c>
    </row>
    <row r="92" customFormat="false" ht="15" hidden="false" customHeight="true" outlineLevel="0" collapsed="false">
      <c r="A92" s="30" t="n">
        <v>91</v>
      </c>
      <c r="B92" s="30" t="s">
        <v>187</v>
      </c>
      <c r="C92" s="30" t="s">
        <v>55</v>
      </c>
      <c r="D92" s="30" t="s">
        <v>603</v>
      </c>
      <c r="E92" s="30" t="s">
        <v>207</v>
      </c>
      <c r="F92" s="58"/>
      <c r="G92" s="65" t="s">
        <v>561</v>
      </c>
      <c r="H92" s="30" t="s">
        <v>291</v>
      </c>
      <c r="I92" s="57" t="s">
        <v>604</v>
      </c>
      <c r="J92" s="58" t="n">
        <v>46203</v>
      </c>
      <c r="K92" s="57" t="str">
        <f aca="false">IF($F92="","",IF(AND($F92&gt;=集計!$B$1,$F92&lt;=集計!$B$2),1,0))</f>
        <v/>
      </c>
      <c r="L92" s="65" t="s">
        <v>594</v>
      </c>
      <c r="M92" s="62"/>
      <c r="N92" s="66" t="s">
        <v>325</v>
      </c>
      <c r="O92" s="62" t="s">
        <v>319</v>
      </c>
      <c r="P92" s="63" t="s">
        <v>209</v>
      </c>
      <c r="Q92" s="64" t="s">
        <v>221</v>
      </c>
      <c r="R92" s="62"/>
      <c r="S92" s="62"/>
      <c r="T92" s="70" t="s">
        <v>564</v>
      </c>
    </row>
    <row r="93" customFormat="false" ht="15" hidden="false" customHeight="true" outlineLevel="0" collapsed="false">
      <c r="A93" s="30" t="n">
        <v>92</v>
      </c>
      <c r="B93" s="30" t="s">
        <v>190</v>
      </c>
      <c r="C93" s="30" t="s">
        <v>55</v>
      </c>
      <c r="D93" s="30" t="s">
        <v>605</v>
      </c>
      <c r="E93" s="30" t="s">
        <v>207</v>
      </c>
      <c r="F93" s="58"/>
      <c r="G93" s="65" t="s">
        <v>561</v>
      </c>
      <c r="H93" s="30" t="s">
        <v>291</v>
      </c>
      <c r="I93" s="57" t="s">
        <v>606</v>
      </c>
      <c r="J93" s="58" t="n">
        <v>46203</v>
      </c>
      <c r="K93" s="57" t="str">
        <f aca="false">IF($F93="","",IF(AND($F93&gt;=集計!$B$1,$F93&lt;=集計!$B$2),1,0))</f>
        <v/>
      </c>
      <c r="L93" s="65" t="s">
        <v>594</v>
      </c>
      <c r="M93" s="62"/>
      <c r="N93" s="66" t="s">
        <v>325</v>
      </c>
      <c r="O93" s="62" t="s">
        <v>319</v>
      </c>
      <c r="P93" s="63" t="s">
        <v>209</v>
      </c>
      <c r="Q93" s="64" t="s">
        <v>221</v>
      </c>
      <c r="R93" s="62"/>
      <c r="S93" s="62"/>
      <c r="T93" s="70" t="s">
        <v>564</v>
      </c>
    </row>
    <row r="94" customFormat="false" ht="15" hidden="false" customHeight="true" outlineLevel="0" collapsed="false">
      <c r="A94" s="30" t="n">
        <v>93</v>
      </c>
      <c r="B94" s="30" t="s">
        <v>193</v>
      </c>
      <c r="C94" s="30" t="s">
        <v>55</v>
      </c>
      <c r="D94" s="30" t="s">
        <v>607</v>
      </c>
      <c r="E94" s="30" t="s">
        <v>207</v>
      </c>
      <c r="F94" s="58"/>
      <c r="G94" s="65" t="s">
        <v>561</v>
      </c>
      <c r="H94" s="30" t="s">
        <v>291</v>
      </c>
      <c r="I94" s="57" t="s">
        <v>608</v>
      </c>
      <c r="J94" s="58" t="n">
        <v>46203</v>
      </c>
      <c r="K94" s="57" t="str">
        <f aca="false">IF($F94="","",IF(AND($F94&gt;=集計!$B$1,$F94&lt;=集計!$B$2),1,0))</f>
        <v/>
      </c>
      <c r="L94" s="65" t="s">
        <v>594</v>
      </c>
      <c r="M94" s="62"/>
      <c r="N94" s="66" t="s">
        <v>325</v>
      </c>
      <c r="O94" s="62" t="s">
        <v>319</v>
      </c>
      <c r="P94" s="63" t="s">
        <v>209</v>
      </c>
      <c r="Q94" s="64" t="s">
        <v>221</v>
      </c>
      <c r="R94" s="62"/>
      <c r="S94" s="62"/>
      <c r="T94" s="70" t="s">
        <v>564</v>
      </c>
    </row>
    <row r="95" customFormat="false" ht="15" hidden="false" customHeight="true" outlineLevel="0" collapsed="false">
      <c r="A95" s="30" t="n">
        <v>94</v>
      </c>
      <c r="B95" s="30" t="s">
        <v>196</v>
      </c>
      <c r="C95" s="30" t="s">
        <v>55</v>
      </c>
      <c r="D95" s="30" t="s">
        <v>609</v>
      </c>
      <c r="E95" s="30" t="s">
        <v>207</v>
      </c>
      <c r="F95" s="58"/>
      <c r="G95" s="65" t="s">
        <v>561</v>
      </c>
      <c r="H95" s="30" t="s">
        <v>291</v>
      </c>
      <c r="I95" s="57" t="s">
        <v>610</v>
      </c>
      <c r="J95" s="58" t="n">
        <v>46203</v>
      </c>
      <c r="K95" s="57" t="str">
        <f aca="false">IF($F95="","",IF(AND($F95&gt;=集計!$B$1,$F95&lt;=集計!$B$2),1,0))</f>
        <v/>
      </c>
      <c r="L95" s="65" t="s">
        <v>594</v>
      </c>
      <c r="M95" s="62"/>
      <c r="N95" s="66" t="s">
        <v>325</v>
      </c>
      <c r="O95" s="62" t="s">
        <v>319</v>
      </c>
      <c r="P95" s="63" t="s">
        <v>209</v>
      </c>
      <c r="Q95" s="64" t="s">
        <v>221</v>
      </c>
      <c r="R95" s="62"/>
      <c r="S95" s="62"/>
      <c r="T95" s="70" t="s">
        <v>564</v>
      </c>
    </row>
    <row r="96" customFormat="false" ht="15" hidden="false" customHeight="true" outlineLevel="0" collapsed="false">
      <c r="A96" s="30" t="n">
        <v>95</v>
      </c>
      <c r="B96" s="30" t="s">
        <v>202</v>
      </c>
      <c r="C96" s="30" t="s">
        <v>55</v>
      </c>
      <c r="D96" s="30" t="s">
        <v>611</v>
      </c>
      <c r="E96" s="30" t="s">
        <v>207</v>
      </c>
      <c r="F96" s="58"/>
      <c r="G96" s="65" t="s">
        <v>561</v>
      </c>
      <c r="H96" s="30" t="s">
        <v>291</v>
      </c>
      <c r="I96" s="57" t="s">
        <v>612</v>
      </c>
      <c r="J96" s="58" t="n">
        <v>46203</v>
      </c>
      <c r="K96" s="57" t="str">
        <f aca="false">IF($F96="","",IF(AND($F96&gt;=集計!$B$1,$F96&lt;=集計!$B$2),1,0))</f>
        <v/>
      </c>
      <c r="L96" s="65" t="s">
        <v>594</v>
      </c>
      <c r="M96" s="62"/>
      <c r="N96" s="66" t="s">
        <v>325</v>
      </c>
      <c r="O96" s="62" t="s">
        <v>319</v>
      </c>
      <c r="P96" s="63" t="s">
        <v>209</v>
      </c>
      <c r="Q96" s="64" t="s">
        <v>221</v>
      </c>
      <c r="R96" s="62"/>
      <c r="S96" s="62"/>
      <c r="T96" s="70" t="s">
        <v>564</v>
      </c>
    </row>
    <row r="97" customFormat="false" ht="15" hidden="false" customHeight="true" outlineLevel="0" collapsed="false">
      <c r="A97" s="30" t="n">
        <v>96</v>
      </c>
      <c r="B97" s="30"/>
      <c r="C97" s="30"/>
      <c r="D97" s="30"/>
      <c r="E97" s="30"/>
      <c r="F97" s="58"/>
      <c r="G97" s="19"/>
      <c r="H97" s="30"/>
      <c r="I97" s="30"/>
      <c r="J97" s="58"/>
      <c r="K97" s="30" t="str">
        <f aca="false">IF($F97="","",IF(AND($F97&gt;=集計!$B$1,$F97&lt;=集計!$B$2),1,0))</f>
        <v/>
      </c>
      <c r="L97" s="19"/>
    </row>
    <row r="98" customFormat="false" ht="15" hidden="false" customHeight="true" outlineLevel="0" collapsed="false">
      <c r="A98" s="30" t="n">
        <v>97</v>
      </c>
      <c r="B98" s="30"/>
      <c r="C98" s="30"/>
      <c r="D98" s="30"/>
      <c r="E98" s="30"/>
      <c r="F98" s="58"/>
      <c r="G98" s="19"/>
      <c r="H98" s="30"/>
      <c r="I98" s="30"/>
      <c r="J98" s="58"/>
      <c r="K98" s="30" t="str">
        <f aca="false">IF($F98="","",IF(AND($F98&gt;=集計!$B$1,$F98&lt;=集計!$B$2),1,0))</f>
        <v/>
      </c>
      <c r="L98" s="19"/>
    </row>
    <row r="99" customFormat="false" ht="15" hidden="false" customHeight="true" outlineLevel="0" collapsed="false">
      <c r="A99" s="30" t="n">
        <v>98</v>
      </c>
      <c r="B99" s="30"/>
      <c r="C99" s="30"/>
      <c r="D99" s="30"/>
      <c r="E99" s="30"/>
      <c r="F99" s="58"/>
      <c r="G99" s="19"/>
      <c r="H99" s="30"/>
      <c r="I99" s="30"/>
      <c r="J99" s="58"/>
      <c r="K99" s="30" t="str">
        <f aca="false">IF($F99="","",IF(AND($F99&gt;=集計!$B$1,$F99&lt;=集計!$B$2),1,0))</f>
        <v/>
      </c>
      <c r="L99" s="19"/>
    </row>
    <row r="100" customFormat="false" ht="15" hidden="false" customHeight="true" outlineLevel="0" collapsed="false">
      <c r="A100" s="30" t="n">
        <v>99</v>
      </c>
      <c r="B100" s="30"/>
      <c r="C100" s="30"/>
      <c r="D100" s="30"/>
      <c r="E100" s="30"/>
      <c r="F100" s="58"/>
      <c r="G100" s="19"/>
      <c r="H100" s="30"/>
      <c r="I100" s="30"/>
      <c r="J100" s="58"/>
      <c r="K100" s="30" t="str">
        <f aca="false">IF($F100="","",IF(AND($F100&gt;=集計!$B$1,$F100&lt;=集計!$B$2),1,0))</f>
        <v/>
      </c>
      <c r="L100" s="19"/>
    </row>
    <row r="101" customFormat="false" ht="15" hidden="false" customHeight="true" outlineLevel="0" collapsed="false">
      <c r="A101" s="30" t="n">
        <v>100</v>
      </c>
      <c r="B101" s="30"/>
      <c r="C101" s="30"/>
      <c r="D101" s="30"/>
      <c r="E101" s="30"/>
      <c r="F101" s="58"/>
      <c r="G101" s="19"/>
      <c r="H101" s="30"/>
      <c r="I101" s="30"/>
      <c r="J101" s="58"/>
      <c r="K101" s="30" t="str">
        <f aca="false">IF($F101="","",IF(AND($F101&gt;=集計!$B$1,$F101&lt;=集計!$B$2),1,0))</f>
        <v/>
      </c>
      <c r="L101" s="19"/>
    </row>
    <row r="102" customFormat="false" ht="15" hidden="false" customHeight="true" outlineLevel="0" collapsed="false">
      <c r="A102" s="30" t="n">
        <v>101</v>
      </c>
      <c r="B102" s="30"/>
      <c r="C102" s="30"/>
      <c r="D102" s="30"/>
      <c r="E102" s="30"/>
      <c r="F102" s="58"/>
      <c r="G102" s="19"/>
      <c r="H102" s="30"/>
      <c r="I102" s="30"/>
      <c r="J102" s="58"/>
      <c r="K102" s="30" t="str">
        <f aca="false">IF($F102="","",IF(AND($F102&gt;=集計!$B$1,$F102&lt;=集計!$B$2),1,0))</f>
        <v/>
      </c>
      <c r="L102" s="19"/>
    </row>
    <row r="103" customFormat="false" ht="15" hidden="false" customHeight="true" outlineLevel="0" collapsed="false">
      <c r="A103" s="30" t="n">
        <v>102</v>
      </c>
      <c r="B103" s="30"/>
      <c r="C103" s="30"/>
      <c r="D103" s="30"/>
      <c r="E103" s="30"/>
      <c r="F103" s="58"/>
      <c r="G103" s="19"/>
      <c r="H103" s="30"/>
      <c r="I103" s="30"/>
      <c r="J103" s="58"/>
      <c r="K103" s="30" t="str">
        <f aca="false">IF($F103="","",IF(AND($F103&gt;=集計!$B$1,$F103&lt;=集計!$B$2),1,0))</f>
        <v/>
      </c>
      <c r="L103" s="19"/>
    </row>
    <row r="104" customFormat="false" ht="15" hidden="false" customHeight="true" outlineLevel="0" collapsed="false">
      <c r="A104" s="30" t="n">
        <v>103</v>
      </c>
      <c r="B104" s="30"/>
      <c r="C104" s="30"/>
      <c r="D104" s="30"/>
      <c r="E104" s="30"/>
      <c r="F104" s="58"/>
      <c r="G104" s="19"/>
      <c r="H104" s="30"/>
      <c r="I104" s="30"/>
      <c r="J104" s="58"/>
      <c r="K104" s="30" t="str">
        <f aca="false">IF($F104="","",IF(AND($F104&gt;=集計!$B$1,$F104&lt;=集計!$B$2),1,0))</f>
        <v/>
      </c>
      <c r="L104" s="19"/>
    </row>
    <row r="105" customFormat="false" ht="15" hidden="false" customHeight="true" outlineLevel="0" collapsed="false">
      <c r="A105" s="30" t="n">
        <v>104</v>
      </c>
      <c r="B105" s="30"/>
      <c r="C105" s="30"/>
      <c r="D105" s="30"/>
      <c r="E105" s="30"/>
      <c r="F105" s="58"/>
      <c r="G105" s="19"/>
      <c r="H105" s="30"/>
      <c r="I105" s="30"/>
      <c r="J105" s="58"/>
      <c r="K105" s="30" t="str">
        <f aca="false">IF($F105="","",IF(AND($F105&gt;=集計!$B$1,$F105&lt;=集計!$B$2),1,0))</f>
        <v/>
      </c>
      <c r="L105" s="19"/>
    </row>
    <row r="106" customFormat="false" ht="15" hidden="false" customHeight="true" outlineLevel="0" collapsed="false">
      <c r="A106" s="30" t="n">
        <v>105</v>
      </c>
      <c r="B106" s="30"/>
      <c r="C106" s="30"/>
      <c r="D106" s="30"/>
      <c r="E106" s="30"/>
      <c r="F106" s="58"/>
      <c r="G106" s="19"/>
      <c r="H106" s="30"/>
      <c r="I106" s="30"/>
      <c r="J106" s="58"/>
      <c r="K106" s="30" t="str">
        <f aca="false">IF($F106="","",IF(AND($F106&gt;=集計!$B$1,$F106&lt;=集計!$B$2),1,0))</f>
        <v/>
      </c>
      <c r="L106" s="19"/>
    </row>
    <row r="107" customFormat="false" ht="15" hidden="false" customHeight="true" outlineLevel="0" collapsed="false">
      <c r="A107" s="30" t="n">
        <v>106</v>
      </c>
      <c r="B107" s="30"/>
      <c r="C107" s="30"/>
      <c r="D107" s="30"/>
      <c r="E107" s="30"/>
      <c r="F107" s="58"/>
      <c r="G107" s="19"/>
      <c r="H107" s="30"/>
      <c r="I107" s="30"/>
      <c r="J107" s="58"/>
      <c r="K107" s="30" t="str">
        <f aca="false">IF($F107="","",IF(AND($F107&gt;=集計!$B$1,$F107&lt;=集計!$B$2),1,0))</f>
        <v/>
      </c>
      <c r="L107" s="19"/>
    </row>
    <row r="108" customFormat="false" ht="15" hidden="false" customHeight="true" outlineLevel="0" collapsed="false">
      <c r="A108" s="30" t="n">
        <v>107</v>
      </c>
      <c r="B108" s="30"/>
      <c r="C108" s="30"/>
      <c r="D108" s="30"/>
      <c r="E108" s="30"/>
      <c r="F108" s="58"/>
      <c r="G108" s="19"/>
      <c r="H108" s="30"/>
      <c r="I108" s="30"/>
      <c r="J108" s="58"/>
      <c r="K108" s="30" t="str">
        <f aca="false">IF($F108="","",IF(AND($F108&gt;=集計!$B$1,$F108&lt;=集計!$B$2),1,0))</f>
        <v/>
      </c>
      <c r="L108" s="19"/>
    </row>
    <row r="109" customFormat="false" ht="15" hidden="false" customHeight="true" outlineLevel="0" collapsed="false">
      <c r="A109" s="30" t="n">
        <v>108</v>
      </c>
      <c r="B109" s="30"/>
      <c r="C109" s="30"/>
      <c r="D109" s="30"/>
      <c r="E109" s="30"/>
      <c r="F109" s="58"/>
      <c r="G109" s="19"/>
      <c r="H109" s="30"/>
      <c r="I109" s="30"/>
      <c r="J109" s="58"/>
      <c r="K109" s="30" t="str">
        <f aca="false">IF($F109="","",IF(AND($F109&gt;=集計!$B$1,$F109&lt;=集計!$B$2),1,0))</f>
        <v/>
      </c>
      <c r="L109" s="19"/>
    </row>
    <row r="110" customFormat="false" ht="15" hidden="false" customHeight="true" outlineLevel="0" collapsed="false">
      <c r="A110" s="30" t="n">
        <v>109</v>
      </c>
      <c r="B110" s="30"/>
      <c r="C110" s="30"/>
      <c r="D110" s="30"/>
      <c r="E110" s="30"/>
      <c r="F110" s="58"/>
      <c r="G110" s="19"/>
      <c r="H110" s="30"/>
      <c r="I110" s="30"/>
      <c r="J110" s="58"/>
      <c r="K110" s="30" t="str">
        <f aca="false">IF($F110="","",IF(AND($F110&gt;=集計!$B$1,$F110&lt;=集計!$B$2),1,0))</f>
        <v/>
      </c>
      <c r="L110" s="19"/>
    </row>
    <row r="111" customFormat="false" ht="15" hidden="false" customHeight="true" outlineLevel="0" collapsed="false">
      <c r="A111" s="30" t="n">
        <v>110</v>
      </c>
      <c r="B111" s="30"/>
      <c r="C111" s="30"/>
      <c r="D111" s="30"/>
      <c r="E111" s="30"/>
      <c r="F111" s="58"/>
      <c r="G111" s="19"/>
      <c r="H111" s="30"/>
      <c r="I111" s="30"/>
      <c r="J111" s="58"/>
      <c r="K111" s="30" t="str">
        <f aca="false">IF($F111="","",IF(AND($F111&gt;=集計!$B$1,$F111&lt;=集計!$B$2),1,0))</f>
        <v/>
      </c>
      <c r="L111" s="19"/>
    </row>
    <row r="112" customFormat="false" ht="15" hidden="false" customHeight="true" outlineLevel="0" collapsed="false">
      <c r="A112" s="30" t="n">
        <v>111</v>
      </c>
      <c r="B112" s="30"/>
      <c r="C112" s="30"/>
      <c r="D112" s="30"/>
      <c r="E112" s="30"/>
      <c r="F112" s="58"/>
      <c r="G112" s="19"/>
      <c r="H112" s="30"/>
      <c r="I112" s="30"/>
      <c r="J112" s="58"/>
      <c r="K112" s="30" t="str">
        <f aca="false">IF($F112="","",IF(AND($F112&gt;=集計!$B$1,$F112&lt;=集計!$B$2),1,0))</f>
        <v/>
      </c>
      <c r="L112" s="19"/>
    </row>
    <row r="113" customFormat="false" ht="15" hidden="false" customHeight="true" outlineLevel="0" collapsed="false">
      <c r="A113" s="30" t="n">
        <v>112</v>
      </c>
      <c r="B113" s="30"/>
      <c r="C113" s="30"/>
      <c r="D113" s="30"/>
      <c r="E113" s="30"/>
      <c r="F113" s="58"/>
      <c r="G113" s="19"/>
      <c r="H113" s="30"/>
      <c r="I113" s="30"/>
      <c r="J113" s="58"/>
      <c r="K113" s="30" t="str">
        <f aca="false">IF($F113="","",IF(AND($F113&gt;=集計!$B$1,$F113&lt;=集計!$B$2),1,0))</f>
        <v/>
      </c>
      <c r="L113" s="19"/>
    </row>
    <row r="114" customFormat="false" ht="15" hidden="false" customHeight="true" outlineLevel="0" collapsed="false">
      <c r="A114" s="30" t="n">
        <v>113</v>
      </c>
      <c r="B114" s="30"/>
      <c r="C114" s="30"/>
      <c r="D114" s="30"/>
      <c r="E114" s="30"/>
      <c r="F114" s="58"/>
      <c r="G114" s="19"/>
      <c r="H114" s="30"/>
      <c r="I114" s="30"/>
      <c r="J114" s="58"/>
      <c r="K114" s="30" t="str">
        <f aca="false">IF($F114="","",IF(AND($F114&gt;=集計!$B$1,$F114&lt;=集計!$B$2),1,0))</f>
        <v/>
      </c>
      <c r="L114" s="19"/>
    </row>
    <row r="115" customFormat="false" ht="15" hidden="false" customHeight="true" outlineLevel="0" collapsed="false">
      <c r="A115" s="30" t="n">
        <v>114</v>
      </c>
      <c r="B115" s="30"/>
      <c r="C115" s="30"/>
      <c r="D115" s="30"/>
      <c r="E115" s="30"/>
      <c r="F115" s="58"/>
      <c r="G115" s="19"/>
      <c r="H115" s="30"/>
      <c r="I115" s="30"/>
      <c r="J115" s="58"/>
      <c r="K115" s="30" t="str">
        <f aca="false">IF($F115="","",IF(AND($F115&gt;=集計!$B$1,$F115&lt;=集計!$B$2),1,0))</f>
        <v/>
      </c>
      <c r="L115" s="19"/>
    </row>
    <row r="116" customFormat="false" ht="15" hidden="false" customHeight="true" outlineLevel="0" collapsed="false">
      <c r="A116" s="30" t="n">
        <v>115</v>
      </c>
      <c r="B116" s="30"/>
      <c r="C116" s="30"/>
      <c r="D116" s="30"/>
      <c r="E116" s="30"/>
      <c r="F116" s="58"/>
      <c r="G116" s="19"/>
      <c r="H116" s="30"/>
      <c r="I116" s="30"/>
      <c r="J116" s="58"/>
      <c r="K116" s="30" t="str">
        <f aca="false">IF($F116="","",IF(AND($F116&gt;=集計!$B$1,$F116&lt;=集計!$B$2),1,0))</f>
        <v/>
      </c>
      <c r="L116" s="19"/>
    </row>
    <row r="117" customFormat="false" ht="15" hidden="false" customHeight="true" outlineLevel="0" collapsed="false">
      <c r="A117" s="30" t="n">
        <v>116</v>
      </c>
      <c r="B117" s="30"/>
      <c r="C117" s="30"/>
      <c r="D117" s="30"/>
      <c r="E117" s="30"/>
      <c r="F117" s="58"/>
      <c r="G117" s="19"/>
      <c r="H117" s="30"/>
      <c r="I117" s="30"/>
      <c r="J117" s="58"/>
      <c r="K117" s="30" t="str">
        <f aca="false">IF($F117="","",IF(AND($F117&gt;=集計!$B$1,$F117&lt;=集計!$B$2),1,0))</f>
        <v/>
      </c>
      <c r="L117" s="19"/>
    </row>
    <row r="118" customFormat="false" ht="15" hidden="false" customHeight="true" outlineLevel="0" collapsed="false">
      <c r="A118" s="30" t="n">
        <v>117</v>
      </c>
      <c r="B118" s="30"/>
      <c r="C118" s="30"/>
      <c r="D118" s="30"/>
      <c r="E118" s="30"/>
      <c r="F118" s="58"/>
      <c r="G118" s="19"/>
      <c r="H118" s="30"/>
      <c r="I118" s="30"/>
      <c r="J118" s="58"/>
      <c r="K118" s="30" t="str">
        <f aca="false">IF($F118="","",IF(AND($F118&gt;=集計!$B$1,$F118&lt;=集計!$B$2),1,0))</f>
        <v/>
      </c>
      <c r="L118" s="19"/>
    </row>
    <row r="119" customFormat="false" ht="15" hidden="false" customHeight="true" outlineLevel="0" collapsed="false">
      <c r="A119" s="30" t="n">
        <v>118</v>
      </c>
      <c r="B119" s="30"/>
      <c r="C119" s="30"/>
      <c r="D119" s="30"/>
      <c r="E119" s="30"/>
      <c r="F119" s="58"/>
      <c r="G119" s="19"/>
      <c r="H119" s="30"/>
      <c r="I119" s="30"/>
      <c r="J119" s="58"/>
      <c r="K119" s="30" t="str">
        <f aca="false">IF($F119="","",IF(AND($F119&gt;=集計!$B$1,$F119&lt;=集計!$B$2),1,0))</f>
        <v/>
      </c>
      <c r="L119" s="19"/>
    </row>
    <row r="120" customFormat="false" ht="15" hidden="false" customHeight="true" outlineLevel="0" collapsed="false">
      <c r="A120" s="30" t="n">
        <v>119</v>
      </c>
      <c r="B120" s="30"/>
      <c r="C120" s="30"/>
      <c r="D120" s="30"/>
      <c r="E120" s="30"/>
      <c r="F120" s="58"/>
      <c r="G120" s="19"/>
      <c r="H120" s="30"/>
      <c r="I120" s="30"/>
      <c r="J120" s="58"/>
      <c r="K120" s="30" t="str">
        <f aca="false">IF($F120="","",IF(AND($F120&gt;=集計!$B$1,$F120&lt;=集計!$B$2),1,0))</f>
        <v/>
      </c>
      <c r="L120" s="19"/>
    </row>
    <row r="121" customFormat="false" ht="15" hidden="false" customHeight="true" outlineLevel="0" collapsed="false">
      <c r="A121" s="30" t="n">
        <v>120</v>
      </c>
      <c r="B121" s="30"/>
      <c r="C121" s="30"/>
      <c r="D121" s="30"/>
      <c r="E121" s="30"/>
      <c r="F121" s="58"/>
      <c r="G121" s="19"/>
      <c r="H121" s="30"/>
      <c r="I121" s="30"/>
      <c r="J121" s="58"/>
      <c r="K121" s="30" t="str">
        <f aca="false">IF($F121="","",IF(AND($F121&gt;=集計!$B$1,$F121&lt;=集計!$B$2),1,0))</f>
        <v/>
      </c>
      <c r="L121" s="19"/>
    </row>
    <row r="122" customFormat="false" ht="15" hidden="false" customHeight="true" outlineLevel="0" collapsed="false">
      <c r="A122" s="30" t="n">
        <v>121</v>
      </c>
      <c r="B122" s="30"/>
      <c r="C122" s="30"/>
      <c r="D122" s="30"/>
      <c r="E122" s="30"/>
      <c r="F122" s="58"/>
      <c r="G122" s="19"/>
      <c r="H122" s="30"/>
      <c r="I122" s="30"/>
      <c r="J122" s="58"/>
      <c r="K122" s="30" t="str">
        <f aca="false">IF($F122="","",IF(AND($F122&gt;=集計!$B$1,$F122&lt;=集計!$B$2),1,0))</f>
        <v/>
      </c>
      <c r="L122" s="19"/>
    </row>
    <row r="123" customFormat="false" ht="15" hidden="false" customHeight="true" outlineLevel="0" collapsed="false">
      <c r="A123" s="30" t="n">
        <v>122</v>
      </c>
      <c r="B123" s="30"/>
      <c r="C123" s="30"/>
      <c r="D123" s="30"/>
      <c r="E123" s="30"/>
      <c r="F123" s="58"/>
      <c r="G123" s="19"/>
      <c r="H123" s="30"/>
      <c r="I123" s="30"/>
      <c r="J123" s="58"/>
      <c r="K123" s="30" t="str">
        <f aca="false">IF($F123="","",IF(AND($F123&gt;=集計!$B$1,$F123&lt;=集計!$B$2),1,0))</f>
        <v/>
      </c>
      <c r="L123" s="19"/>
    </row>
    <row r="124" customFormat="false" ht="15" hidden="false" customHeight="true" outlineLevel="0" collapsed="false">
      <c r="A124" s="30" t="n">
        <v>123</v>
      </c>
      <c r="B124" s="30"/>
      <c r="C124" s="30"/>
      <c r="D124" s="30"/>
      <c r="E124" s="30"/>
      <c r="F124" s="58"/>
      <c r="G124" s="19"/>
      <c r="H124" s="30"/>
      <c r="I124" s="30"/>
      <c r="J124" s="58"/>
      <c r="K124" s="30" t="str">
        <f aca="false">IF($F124="","",IF(AND($F124&gt;=集計!$B$1,$F124&lt;=集計!$B$2),1,0))</f>
        <v/>
      </c>
      <c r="L124" s="19"/>
    </row>
    <row r="125" customFormat="false" ht="15" hidden="false" customHeight="true" outlineLevel="0" collapsed="false">
      <c r="A125" s="30" t="n">
        <v>124</v>
      </c>
      <c r="B125" s="30"/>
      <c r="C125" s="30"/>
      <c r="D125" s="30"/>
      <c r="E125" s="30"/>
      <c r="F125" s="58"/>
      <c r="G125" s="19"/>
      <c r="H125" s="30"/>
      <c r="I125" s="30"/>
      <c r="J125" s="58"/>
      <c r="K125" s="30" t="str">
        <f aca="false">IF($F125="","",IF(AND($F125&gt;=集計!$B$1,$F125&lt;=集計!$B$2),1,0))</f>
        <v/>
      </c>
      <c r="L125" s="19"/>
    </row>
    <row r="126" customFormat="false" ht="15" hidden="false" customHeight="true" outlineLevel="0" collapsed="false">
      <c r="A126" s="30" t="n">
        <v>125</v>
      </c>
      <c r="B126" s="30"/>
      <c r="C126" s="30"/>
      <c r="D126" s="30"/>
      <c r="E126" s="30"/>
      <c r="F126" s="58"/>
      <c r="G126" s="19"/>
      <c r="H126" s="30"/>
      <c r="I126" s="30"/>
      <c r="J126" s="58"/>
      <c r="K126" s="30" t="str">
        <f aca="false">IF($F126="","",IF(AND($F126&gt;=集計!$B$1,$F126&lt;=集計!$B$2),1,0))</f>
        <v/>
      </c>
      <c r="L126" s="19"/>
    </row>
    <row r="127" customFormat="false" ht="15" hidden="false" customHeight="true" outlineLevel="0" collapsed="false">
      <c r="A127" s="30" t="n">
        <v>126</v>
      </c>
      <c r="B127" s="30"/>
      <c r="C127" s="30"/>
      <c r="D127" s="30"/>
      <c r="E127" s="30"/>
      <c r="F127" s="58"/>
      <c r="G127" s="19"/>
      <c r="H127" s="30"/>
      <c r="I127" s="30"/>
      <c r="J127" s="58"/>
      <c r="K127" s="30" t="str">
        <f aca="false">IF($F127="","",IF(AND($F127&gt;=集計!$B$1,$F127&lt;=集計!$B$2),1,0))</f>
        <v/>
      </c>
      <c r="L127" s="19"/>
    </row>
    <row r="128" customFormat="false" ht="15" hidden="false" customHeight="true" outlineLevel="0" collapsed="false">
      <c r="A128" s="30" t="n">
        <v>127</v>
      </c>
      <c r="B128" s="30"/>
      <c r="C128" s="30"/>
      <c r="D128" s="30"/>
      <c r="E128" s="30"/>
      <c r="F128" s="58"/>
      <c r="G128" s="19"/>
      <c r="H128" s="30"/>
      <c r="I128" s="30"/>
      <c r="J128" s="58"/>
      <c r="K128" s="30" t="str">
        <f aca="false">IF($F128="","",IF(AND($F128&gt;=集計!$B$1,$F128&lt;=集計!$B$2),1,0))</f>
        <v/>
      </c>
      <c r="L128" s="19"/>
    </row>
    <row r="129" customFormat="false" ht="15" hidden="false" customHeight="true" outlineLevel="0" collapsed="false">
      <c r="A129" s="30" t="n">
        <v>128</v>
      </c>
      <c r="B129" s="30"/>
      <c r="C129" s="30"/>
      <c r="D129" s="30"/>
      <c r="E129" s="30"/>
      <c r="F129" s="58"/>
      <c r="G129" s="19"/>
      <c r="H129" s="30"/>
      <c r="I129" s="30"/>
      <c r="J129" s="58"/>
      <c r="K129" s="30" t="str">
        <f aca="false">IF($F129="","",IF(AND($F129&gt;=集計!$B$1,$F129&lt;=集計!$B$2),1,0))</f>
        <v/>
      </c>
      <c r="L129" s="19"/>
    </row>
    <row r="130" customFormat="false" ht="15" hidden="false" customHeight="true" outlineLevel="0" collapsed="false">
      <c r="A130" s="30" t="n">
        <v>129</v>
      </c>
      <c r="B130" s="30"/>
      <c r="C130" s="30"/>
      <c r="D130" s="30"/>
      <c r="E130" s="30"/>
      <c r="F130" s="58"/>
      <c r="G130" s="19"/>
      <c r="H130" s="30"/>
      <c r="I130" s="30"/>
      <c r="J130" s="58"/>
      <c r="K130" s="30" t="str">
        <f aca="false">IF($F130="","",IF(AND($F130&gt;=集計!$B$1,$F130&lt;=集計!$B$2),1,0))</f>
        <v/>
      </c>
      <c r="L130" s="19"/>
    </row>
    <row r="131" customFormat="false" ht="15" hidden="false" customHeight="true" outlineLevel="0" collapsed="false">
      <c r="A131" s="30" t="n">
        <v>130</v>
      </c>
      <c r="B131" s="30"/>
      <c r="C131" s="30"/>
      <c r="D131" s="30"/>
      <c r="E131" s="30"/>
      <c r="F131" s="58"/>
      <c r="G131" s="19"/>
      <c r="H131" s="30"/>
      <c r="I131" s="30"/>
      <c r="J131" s="58"/>
      <c r="K131" s="30" t="str">
        <f aca="false">IF($F131="","",IF(AND($F131&gt;=集計!$B$1,$F131&lt;=集計!$B$2),1,0))</f>
        <v/>
      </c>
      <c r="L131" s="19"/>
    </row>
    <row r="132" customFormat="false" ht="15" hidden="false" customHeight="true" outlineLevel="0" collapsed="false">
      <c r="A132" s="30" t="n">
        <v>131</v>
      </c>
      <c r="B132" s="30"/>
      <c r="C132" s="30"/>
      <c r="D132" s="30"/>
      <c r="E132" s="30"/>
      <c r="F132" s="58"/>
      <c r="G132" s="19"/>
      <c r="H132" s="30"/>
      <c r="I132" s="30"/>
      <c r="J132" s="58"/>
      <c r="K132" s="30" t="str">
        <f aca="false">IF($F132="","",IF(AND($F132&gt;=集計!$B$1,$F132&lt;=集計!$B$2),1,0))</f>
        <v/>
      </c>
      <c r="L132" s="19"/>
    </row>
    <row r="133" customFormat="false" ht="15" hidden="false" customHeight="true" outlineLevel="0" collapsed="false">
      <c r="A133" s="30" t="n">
        <v>132</v>
      </c>
      <c r="B133" s="30"/>
      <c r="C133" s="30"/>
      <c r="D133" s="30"/>
      <c r="E133" s="30"/>
      <c r="F133" s="58"/>
      <c r="G133" s="19"/>
      <c r="H133" s="30"/>
      <c r="I133" s="30"/>
      <c r="J133" s="58"/>
      <c r="K133" s="30" t="str">
        <f aca="false">IF($F133="","",IF(AND($F133&gt;=集計!$B$1,$F133&lt;=集計!$B$2),1,0))</f>
        <v/>
      </c>
      <c r="L133" s="19"/>
    </row>
    <row r="134" customFormat="false" ht="15" hidden="false" customHeight="true" outlineLevel="0" collapsed="false">
      <c r="A134" s="30" t="n">
        <v>133</v>
      </c>
      <c r="B134" s="30"/>
      <c r="C134" s="30"/>
      <c r="D134" s="30"/>
      <c r="E134" s="30"/>
      <c r="F134" s="58"/>
      <c r="G134" s="19"/>
      <c r="H134" s="30"/>
      <c r="I134" s="30"/>
      <c r="J134" s="58"/>
      <c r="K134" s="30" t="str">
        <f aca="false">IF($F134="","",IF(AND($F134&gt;=集計!$B$1,$F134&lt;=集計!$B$2),1,0))</f>
        <v/>
      </c>
      <c r="L134" s="19"/>
    </row>
    <row r="135" customFormat="false" ht="15" hidden="false" customHeight="true" outlineLevel="0" collapsed="false">
      <c r="A135" s="30" t="n">
        <v>134</v>
      </c>
      <c r="B135" s="30"/>
      <c r="C135" s="30"/>
      <c r="D135" s="30"/>
      <c r="E135" s="30"/>
      <c r="F135" s="58"/>
      <c r="G135" s="19"/>
      <c r="H135" s="30"/>
      <c r="I135" s="30"/>
      <c r="J135" s="58"/>
      <c r="K135" s="30" t="str">
        <f aca="false">IF($F135="","",IF(AND($F135&gt;=集計!$B$1,$F135&lt;=集計!$B$2),1,0))</f>
        <v/>
      </c>
      <c r="L135" s="19"/>
    </row>
    <row r="136" customFormat="false" ht="15" hidden="false" customHeight="true" outlineLevel="0" collapsed="false">
      <c r="A136" s="30" t="n">
        <v>135</v>
      </c>
      <c r="B136" s="30"/>
      <c r="C136" s="30"/>
      <c r="D136" s="30"/>
      <c r="E136" s="30"/>
      <c r="F136" s="58"/>
      <c r="G136" s="19"/>
      <c r="H136" s="30"/>
      <c r="I136" s="30"/>
      <c r="J136" s="58"/>
      <c r="K136" s="30" t="str">
        <f aca="false">IF($F136="","",IF(AND($F136&gt;=集計!$B$1,$F136&lt;=集計!$B$2),1,0))</f>
        <v/>
      </c>
      <c r="L136" s="19"/>
    </row>
    <row r="137" customFormat="false" ht="15" hidden="false" customHeight="true" outlineLevel="0" collapsed="false">
      <c r="A137" s="30" t="n">
        <v>136</v>
      </c>
      <c r="B137" s="30"/>
      <c r="C137" s="30"/>
      <c r="D137" s="30"/>
      <c r="E137" s="30"/>
      <c r="F137" s="58"/>
      <c r="G137" s="19"/>
      <c r="H137" s="30"/>
      <c r="I137" s="30"/>
      <c r="J137" s="58"/>
      <c r="K137" s="30" t="str">
        <f aca="false">IF($F137="","",IF(AND($F137&gt;=集計!$B$1,$F137&lt;=集計!$B$2),1,0))</f>
        <v/>
      </c>
      <c r="L137" s="19"/>
    </row>
    <row r="138" customFormat="false" ht="15" hidden="false" customHeight="true" outlineLevel="0" collapsed="false">
      <c r="A138" s="30" t="n">
        <v>137</v>
      </c>
      <c r="B138" s="30"/>
      <c r="C138" s="30"/>
      <c r="D138" s="30"/>
      <c r="E138" s="30"/>
      <c r="F138" s="58"/>
      <c r="G138" s="19"/>
      <c r="H138" s="30"/>
      <c r="I138" s="30"/>
      <c r="J138" s="58"/>
      <c r="K138" s="30" t="str">
        <f aca="false">IF($F138="","",IF(AND($F138&gt;=集計!$B$1,$F138&lt;=集計!$B$2),1,0))</f>
        <v/>
      </c>
      <c r="L138" s="19"/>
    </row>
    <row r="139" customFormat="false" ht="15" hidden="false" customHeight="true" outlineLevel="0" collapsed="false">
      <c r="A139" s="30" t="n">
        <v>138</v>
      </c>
      <c r="B139" s="30"/>
      <c r="C139" s="30"/>
      <c r="D139" s="30"/>
      <c r="E139" s="30"/>
      <c r="F139" s="58"/>
      <c r="G139" s="19"/>
      <c r="H139" s="30"/>
      <c r="I139" s="30"/>
      <c r="J139" s="58"/>
      <c r="K139" s="30" t="str">
        <f aca="false">IF($F139="","",IF(AND($F139&gt;=集計!$B$1,$F139&lt;=集計!$B$2),1,0))</f>
        <v/>
      </c>
      <c r="L139" s="19"/>
    </row>
    <row r="140" customFormat="false" ht="15" hidden="false" customHeight="true" outlineLevel="0" collapsed="false">
      <c r="A140" s="30" t="n">
        <v>139</v>
      </c>
      <c r="B140" s="30"/>
      <c r="C140" s="30"/>
      <c r="D140" s="30"/>
      <c r="E140" s="30"/>
      <c r="F140" s="58"/>
      <c r="G140" s="19"/>
      <c r="H140" s="30"/>
      <c r="I140" s="30"/>
      <c r="J140" s="58"/>
      <c r="K140" s="30" t="str">
        <f aca="false">IF($F140="","",IF(AND($F140&gt;=集計!$B$1,$F140&lt;=集計!$B$2),1,0))</f>
        <v/>
      </c>
      <c r="L140" s="19"/>
    </row>
    <row r="141" customFormat="false" ht="15" hidden="false" customHeight="true" outlineLevel="0" collapsed="false">
      <c r="A141" s="30" t="n">
        <v>140</v>
      </c>
      <c r="B141" s="30"/>
      <c r="C141" s="30"/>
      <c r="D141" s="30"/>
      <c r="E141" s="30"/>
      <c r="F141" s="58"/>
      <c r="G141" s="19"/>
      <c r="H141" s="30"/>
      <c r="I141" s="30"/>
      <c r="J141" s="58"/>
      <c r="K141" s="30" t="str">
        <f aca="false">IF($F141="","",IF(AND($F141&gt;=集計!$B$1,$F141&lt;=集計!$B$2),1,0))</f>
        <v/>
      </c>
      <c r="L141" s="19"/>
    </row>
    <row r="142" customFormat="false" ht="15" hidden="false" customHeight="true" outlineLevel="0" collapsed="false">
      <c r="A142" s="30" t="n">
        <v>141</v>
      </c>
      <c r="B142" s="30"/>
      <c r="C142" s="30"/>
      <c r="D142" s="30"/>
      <c r="E142" s="30"/>
      <c r="F142" s="58"/>
      <c r="G142" s="19"/>
      <c r="H142" s="30"/>
      <c r="I142" s="30"/>
      <c r="J142" s="58"/>
      <c r="K142" s="30" t="str">
        <f aca="false">IF($F142="","",IF(AND($F142&gt;=集計!$B$1,$F142&lt;=集計!$B$2),1,0))</f>
        <v/>
      </c>
      <c r="L142" s="19"/>
    </row>
    <row r="143" customFormat="false" ht="15" hidden="false" customHeight="true" outlineLevel="0" collapsed="false">
      <c r="A143" s="30" t="n">
        <v>142</v>
      </c>
      <c r="B143" s="30"/>
      <c r="C143" s="30"/>
      <c r="D143" s="30"/>
      <c r="E143" s="30"/>
      <c r="F143" s="58"/>
      <c r="G143" s="19"/>
      <c r="H143" s="30"/>
      <c r="I143" s="30"/>
      <c r="J143" s="58"/>
      <c r="K143" s="30" t="str">
        <f aca="false">IF($F143="","",IF(AND($F143&gt;=集計!$B$1,$F143&lt;=集計!$B$2),1,0))</f>
        <v/>
      </c>
      <c r="L143" s="19"/>
    </row>
    <row r="144" customFormat="false" ht="15" hidden="false" customHeight="true" outlineLevel="0" collapsed="false">
      <c r="A144" s="30" t="n">
        <v>143</v>
      </c>
      <c r="B144" s="30"/>
      <c r="C144" s="30"/>
      <c r="D144" s="30"/>
      <c r="E144" s="30"/>
      <c r="F144" s="58"/>
      <c r="G144" s="19"/>
      <c r="H144" s="30"/>
      <c r="I144" s="30"/>
      <c r="J144" s="58"/>
      <c r="K144" s="30" t="str">
        <f aca="false">IF($F144="","",IF(AND($F144&gt;=集計!$B$1,$F144&lt;=集計!$B$2),1,0))</f>
        <v/>
      </c>
      <c r="L144" s="19"/>
    </row>
    <row r="145" customFormat="false" ht="15" hidden="false" customHeight="true" outlineLevel="0" collapsed="false">
      <c r="A145" s="30" t="n">
        <v>144</v>
      </c>
      <c r="B145" s="30"/>
      <c r="C145" s="30"/>
      <c r="D145" s="30"/>
      <c r="E145" s="30"/>
      <c r="F145" s="58"/>
      <c r="G145" s="19"/>
      <c r="H145" s="30"/>
      <c r="I145" s="30"/>
      <c r="J145" s="58"/>
      <c r="K145" s="30" t="str">
        <f aca="false">IF($F145="","",IF(AND($F145&gt;=集計!$B$1,$F145&lt;=集計!$B$2),1,0))</f>
        <v/>
      </c>
      <c r="L145" s="19"/>
    </row>
    <row r="146" customFormat="false" ht="15" hidden="false" customHeight="true" outlineLevel="0" collapsed="false">
      <c r="A146" s="30" t="n">
        <v>145</v>
      </c>
      <c r="B146" s="30"/>
      <c r="C146" s="30"/>
      <c r="D146" s="30"/>
      <c r="E146" s="30"/>
      <c r="F146" s="58"/>
      <c r="G146" s="19"/>
      <c r="H146" s="30"/>
      <c r="I146" s="30"/>
      <c r="J146" s="58"/>
      <c r="K146" s="30" t="str">
        <f aca="false">IF($F146="","",IF(AND($F146&gt;=集計!$B$1,$F146&lt;=集計!$B$2),1,0))</f>
        <v/>
      </c>
      <c r="L146" s="19"/>
    </row>
    <row r="147" customFormat="false" ht="15" hidden="false" customHeight="true" outlineLevel="0" collapsed="false">
      <c r="A147" s="30" t="n">
        <v>146</v>
      </c>
      <c r="B147" s="30"/>
      <c r="C147" s="30"/>
      <c r="D147" s="30"/>
      <c r="E147" s="30"/>
      <c r="F147" s="58"/>
      <c r="G147" s="19"/>
      <c r="H147" s="30"/>
      <c r="I147" s="30"/>
      <c r="J147" s="58"/>
      <c r="K147" s="30" t="str">
        <f aca="false">IF($F147="","",IF(AND($F147&gt;=集計!$B$1,$F147&lt;=集計!$B$2),1,0))</f>
        <v/>
      </c>
      <c r="L147" s="19"/>
    </row>
    <row r="148" customFormat="false" ht="15" hidden="false" customHeight="true" outlineLevel="0" collapsed="false">
      <c r="A148" s="30" t="n">
        <v>147</v>
      </c>
      <c r="B148" s="30"/>
      <c r="C148" s="30"/>
      <c r="D148" s="30"/>
      <c r="E148" s="30"/>
      <c r="F148" s="58"/>
      <c r="G148" s="19"/>
      <c r="H148" s="30"/>
      <c r="I148" s="30"/>
      <c r="J148" s="58"/>
      <c r="K148" s="30" t="str">
        <f aca="false">IF($F148="","",IF(AND($F148&gt;=集計!$B$1,$F148&lt;=集計!$B$2),1,0))</f>
        <v/>
      </c>
      <c r="L148" s="19"/>
    </row>
    <row r="149" customFormat="false" ht="15" hidden="false" customHeight="true" outlineLevel="0" collapsed="false">
      <c r="A149" s="30" t="n">
        <v>148</v>
      </c>
      <c r="B149" s="30"/>
      <c r="C149" s="30"/>
      <c r="D149" s="30"/>
      <c r="E149" s="30"/>
      <c r="F149" s="58"/>
      <c r="G149" s="19"/>
      <c r="H149" s="30"/>
      <c r="I149" s="30"/>
      <c r="J149" s="58"/>
      <c r="K149" s="30" t="str">
        <f aca="false">IF($F149="","",IF(AND($F149&gt;=集計!$B$1,$F149&lt;=集計!$B$2),1,0))</f>
        <v/>
      </c>
      <c r="L149" s="19"/>
    </row>
    <row r="150" customFormat="false" ht="15" hidden="false" customHeight="true" outlineLevel="0" collapsed="false">
      <c r="A150" s="30" t="n">
        <v>149</v>
      </c>
      <c r="B150" s="30"/>
      <c r="C150" s="30"/>
      <c r="D150" s="30"/>
      <c r="E150" s="30"/>
      <c r="F150" s="58"/>
      <c r="G150" s="19"/>
      <c r="H150" s="30"/>
      <c r="I150" s="30"/>
      <c r="J150" s="58"/>
      <c r="K150" s="30" t="str">
        <f aca="false">IF($F150="","",IF(AND($F150&gt;=集計!$B$1,$F150&lt;=集計!$B$2),1,0))</f>
        <v/>
      </c>
      <c r="L150" s="19"/>
    </row>
    <row r="151" customFormat="false" ht="15" hidden="false" customHeight="true" outlineLevel="0" collapsed="false">
      <c r="A151" s="30" t="n">
        <v>150</v>
      </c>
      <c r="B151" s="30"/>
      <c r="C151" s="30"/>
      <c r="D151" s="30"/>
      <c r="E151" s="30"/>
      <c r="F151" s="58"/>
      <c r="G151" s="19"/>
      <c r="H151" s="30"/>
      <c r="I151" s="30"/>
      <c r="J151" s="58"/>
      <c r="K151" s="30" t="str">
        <f aca="false">IF($F151="","",IF(AND($F151&gt;=集計!$B$1,$F151&lt;=集計!$B$2),1,0))</f>
        <v/>
      </c>
      <c r="L151" s="19"/>
    </row>
    <row r="152" customFormat="false" ht="15" hidden="false" customHeight="true" outlineLevel="0" collapsed="false">
      <c r="A152" s="30" t="n">
        <v>151</v>
      </c>
      <c r="B152" s="30"/>
      <c r="C152" s="30"/>
      <c r="D152" s="30"/>
      <c r="E152" s="30"/>
      <c r="F152" s="58"/>
      <c r="G152" s="19"/>
      <c r="H152" s="30"/>
      <c r="I152" s="30"/>
      <c r="J152" s="58"/>
      <c r="K152" s="30" t="str">
        <f aca="false">IF($F152="","",IF(AND($F152&gt;=集計!$B$1,$F152&lt;=集計!$B$2),1,0))</f>
        <v/>
      </c>
      <c r="L152" s="19"/>
    </row>
    <row r="153" customFormat="false" ht="15" hidden="false" customHeight="true" outlineLevel="0" collapsed="false">
      <c r="A153" s="30" t="n">
        <v>152</v>
      </c>
      <c r="B153" s="30"/>
      <c r="C153" s="30"/>
      <c r="D153" s="30"/>
      <c r="E153" s="30"/>
      <c r="F153" s="58"/>
      <c r="G153" s="19"/>
      <c r="H153" s="30"/>
      <c r="I153" s="30"/>
      <c r="J153" s="58"/>
      <c r="K153" s="30" t="str">
        <f aca="false">IF($F153="","",IF(AND($F153&gt;=集計!$B$1,$F153&lt;=集計!$B$2),1,0))</f>
        <v/>
      </c>
      <c r="L153" s="19"/>
    </row>
    <row r="154" customFormat="false" ht="15" hidden="false" customHeight="true" outlineLevel="0" collapsed="false">
      <c r="A154" s="30" t="n">
        <v>153</v>
      </c>
      <c r="B154" s="30"/>
      <c r="C154" s="30"/>
      <c r="D154" s="30"/>
      <c r="E154" s="30"/>
      <c r="F154" s="58"/>
      <c r="G154" s="19"/>
      <c r="H154" s="30"/>
      <c r="I154" s="30"/>
      <c r="J154" s="58"/>
      <c r="K154" s="30" t="str">
        <f aca="false">IF($F154="","",IF(AND($F154&gt;=集計!$B$1,$F154&lt;=集計!$B$2),1,0))</f>
        <v/>
      </c>
      <c r="L154" s="19"/>
    </row>
    <row r="155" customFormat="false" ht="15" hidden="false" customHeight="true" outlineLevel="0" collapsed="false">
      <c r="A155" s="30" t="n">
        <v>154</v>
      </c>
      <c r="B155" s="30"/>
      <c r="C155" s="30"/>
      <c r="D155" s="30"/>
      <c r="E155" s="30"/>
      <c r="F155" s="58"/>
      <c r="G155" s="19"/>
      <c r="H155" s="30"/>
      <c r="I155" s="30"/>
      <c r="J155" s="58"/>
      <c r="K155" s="30" t="str">
        <f aca="false">IF($F155="","",IF(AND($F155&gt;=集計!$B$1,$F155&lt;=集計!$B$2),1,0))</f>
        <v/>
      </c>
      <c r="L155" s="19"/>
    </row>
    <row r="156" customFormat="false" ht="15" hidden="false" customHeight="true" outlineLevel="0" collapsed="false">
      <c r="A156" s="30" t="n">
        <v>155</v>
      </c>
      <c r="B156" s="30"/>
      <c r="C156" s="30"/>
      <c r="D156" s="30"/>
      <c r="E156" s="30"/>
      <c r="F156" s="58"/>
      <c r="G156" s="19"/>
      <c r="H156" s="30"/>
      <c r="I156" s="30"/>
      <c r="J156" s="58"/>
      <c r="K156" s="30" t="str">
        <f aca="false">IF($F156="","",IF(AND($F156&gt;=集計!$B$1,$F156&lt;=集計!$B$2),1,0))</f>
        <v/>
      </c>
      <c r="L156" s="19"/>
    </row>
    <row r="157" customFormat="false" ht="15" hidden="false" customHeight="true" outlineLevel="0" collapsed="false">
      <c r="A157" s="30" t="n">
        <v>156</v>
      </c>
      <c r="B157" s="30"/>
      <c r="C157" s="30"/>
      <c r="D157" s="30"/>
      <c r="E157" s="30"/>
      <c r="F157" s="58"/>
      <c r="G157" s="19"/>
      <c r="H157" s="30"/>
      <c r="I157" s="30"/>
      <c r="J157" s="58"/>
      <c r="K157" s="30" t="str">
        <f aca="false">IF($F157="","",IF(AND($F157&gt;=集計!$B$1,$F157&lt;=集計!$B$2),1,0))</f>
        <v/>
      </c>
      <c r="L157" s="19"/>
    </row>
    <row r="158" customFormat="false" ht="15" hidden="false" customHeight="true" outlineLevel="0" collapsed="false">
      <c r="A158" s="30" t="n">
        <v>157</v>
      </c>
      <c r="B158" s="30"/>
      <c r="C158" s="30"/>
      <c r="D158" s="30"/>
      <c r="E158" s="30"/>
      <c r="F158" s="58"/>
      <c r="G158" s="19"/>
      <c r="H158" s="30"/>
      <c r="I158" s="30"/>
      <c r="J158" s="58"/>
      <c r="K158" s="30" t="str">
        <f aca="false">IF($F158="","",IF(AND($F158&gt;=集計!$B$1,$F158&lt;=集計!$B$2),1,0))</f>
        <v/>
      </c>
      <c r="L158" s="19"/>
    </row>
    <row r="159" customFormat="false" ht="15" hidden="false" customHeight="true" outlineLevel="0" collapsed="false">
      <c r="A159" s="30" t="n">
        <v>158</v>
      </c>
      <c r="B159" s="30"/>
      <c r="C159" s="30"/>
      <c r="D159" s="30"/>
      <c r="E159" s="30"/>
      <c r="F159" s="58"/>
      <c r="G159" s="19"/>
      <c r="H159" s="30"/>
      <c r="I159" s="30"/>
      <c r="J159" s="58"/>
      <c r="K159" s="30" t="str">
        <f aca="false">IF($F159="","",IF(AND($F159&gt;=集計!$B$1,$F159&lt;=集計!$B$2),1,0))</f>
        <v/>
      </c>
      <c r="L159" s="19"/>
    </row>
    <row r="160" customFormat="false" ht="15" hidden="false" customHeight="true" outlineLevel="0" collapsed="false">
      <c r="A160" s="30" t="n">
        <v>159</v>
      </c>
      <c r="B160" s="30"/>
      <c r="C160" s="30"/>
      <c r="D160" s="30"/>
      <c r="E160" s="30"/>
      <c r="F160" s="58"/>
      <c r="G160" s="19"/>
      <c r="H160" s="30"/>
      <c r="I160" s="30"/>
      <c r="J160" s="58"/>
      <c r="K160" s="30" t="str">
        <f aca="false">IF($F160="","",IF(AND($F160&gt;=集計!$B$1,$F160&lt;=集計!$B$2),1,0))</f>
        <v/>
      </c>
      <c r="L160" s="19"/>
    </row>
    <row r="161" customFormat="false" ht="15" hidden="false" customHeight="true" outlineLevel="0" collapsed="false">
      <c r="A161" s="30" t="n">
        <v>160</v>
      </c>
      <c r="B161" s="30"/>
      <c r="C161" s="30"/>
      <c r="D161" s="30"/>
      <c r="E161" s="30"/>
      <c r="F161" s="58"/>
      <c r="G161" s="19"/>
      <c r="H161" s="30"/>
      <c r="I161" s="30"/>
      <c r="J161" s="58"/>
      <c r="K161" s="30" t="str">
        <f aca="false">IF($F161="","",IF(AND($F161&gt;=集計!$B$1,$F161&lt;=集計!$B$2),1,0))</f>
        <v/>
      </c>
      <c r="L161" s="19"/>
    </row>
    <row r="162" customFormat="false" ht="15" hidden="false" customHeight="true" outlineLevel="0" collapsed="false">
      <c r="A162" s="30" t="n">
        <v>161</v>
      </c>
      <c r="B162" s="30"/>
      <c r="C162" s="30"/>
      <c r="D162" s="30"/>
      <c r="E162" s="30"/>
      <c r="F162" s="58"/>
      <c r="G162" s="19"/>
      <c r="H162" s="30"/>
      <c r="I162" s="30"/>
      <c r="J162" s="58"/>
      <c r="K162" s="30" t="str">
        <f aca="false">IF($F162="","",IF(AND($F162&gt;=集計!$B$1,$F162&lt;=集計!$B$2),1,0))</f>
        <v/>
      </c>
      <c r="L162" s="19"/>
    </row>
    <row r="163" customFormat="false" ht="15" hidden="false" customHeight="true" outlineLevel="0" collapsed="false">
      <c r="A163" s="30" t="n">
        <v>162</v>
      </c>
      <c r="B163" s="30"/>
      <c r="C163" s="30"/>
      <c r="D163" s="30"/>
      <c r="E163" s="30"/>
      <c r="F163" s="58"/>
      <c r="G163" s="19"/>
      <c r="H163" s="30"/>
      <c r="I163" s="30"/>
      <c r="J163" s="58"/>
      <c r="K163" s="30" t="str">
        <f aca="false">IF($F163="","",IF(AND($F163&gt;=集計!$B$1,$F163&lt;=集計!$B$2),1,0))</f>
        <v/>
      </c>
      <c r="L163" s="19"/>
    </row>
    <row r="164" customFormat="false" ht="15" hidden="false" customHeight="true" outlineLevel="0" collapsed="false">
      <c r="A164" s="30" t="n">
        <v>163</v>
      </c>
      <c r="B164" s="30"/>
      <c r="C164" s="30"/>
      <c r="D164" s="30"/>
      <c r="E164" s="30"/>
      <c r="F164" s="58"/>
      <c r="G164" s="19"/>
      <c r="H164" s="30"/>
      <c r="I164" s="30"/>
      <c r="J164" s="58"/>
      <c r="K164" s="30" t="str">
        <f aca="false">IF($F164="","",IF(AND($F164&gt;=集計!$B$1,$F164&lt;=集計!$B$2),1,0))</f>
        <v/>
      </c>
      <c r="L164" s="19"/>
    </row>
    <row r="165" customFormat="false" ht="15" hidden="false" customHeight="true" outlineLevel="0" collapsed="false">
      <c r="A165" s="30" t="n">
        <v>164</v>
      </c>
      <c r="B165" s="30"/>
      <c r="C165" s="30"/>
      <c r="D165" s="30"/>
      <c r="E165" s="30"/>
      <c r="F165" s="58"/>
      <c r="G165" s="19"/>
      <c r="H165" s="30"/>
      <c r="I165" s="30"/>
      <c r="J165" s="58"/>
      <c r="K165" s="30" t="str">
        <f aca="false">IF($F165="","",IF(AND($F165&gt;=集計!$B$1,$F165&lt;=集計!$B$2),1,0))</f>
        <v/>
      </c>
      <c r="L165" s="19"/>
    </row>
    <row r="166" customFormat="false" ht="15" hidden="false" customHeight="true" outlineLevel="0" collapsed="false">
      <c r="A166" s="30" t="n">
        <v>165</v>
      </c>
      <c r="B166" s="30"/>
      <c r="C166" s="30"/>
      <c r="D166" s="30"/>
      <c r="E166" s="30"/>
      <c r="F166" s="58"/>
      <c r="G166" s="19"/>
      <c r="H166" s="30"/>
      <c r="I166" s="30"/>
      <c r="J166" s="58"/>
      <c r="K166" s="30" t="str">
        <f aca="false">IF($F166="","",IF(AND($F166&gt;=集計!$B$1,$F166&lt;=集計!$B$2),1,0))</f>
        <v/>
      </c>
      <c r="L166" s="19"/>
    </row>
    <row r="167" customFormat="false" ht="15" hidden="false" customHeight="true" outlineLevel="0" collapsed="false">
      <c r="A167" s="30" t="n">
        <v>166</v>
      </c>
      <c r="B167" s="30"/>
      <c r="C167" s="30"/>
      <c r="D167" s="30"/>
      <c r="E167" s="30"/>
      <c r="F167" s="58"/>
      <c r="G167" s="19"/>
      <c r="H167" s="30"/>
      <c r="I167" s="30"/>
      <c r="J167" s="58"/>
      <c r="K167" s="30" t="str">
        <f aca="false">IF($F167="","",IF(AND($F167&gt;=集計!$B$1,$F167&lt;=集計!$B$2),1,0))</f>
        <v/>
      </c>
      <c r="L167" s="19"/>
    </row>
    <row r="168" customFormat="false" ht="15" hidden="false" customHeight="true" outlineLevel="0" collapsed="false">
      <c r="A168" s="30" t="n">
        <v>167</v>
      </c>
      <c r="B168" s="30"/>
      <c r="C168" s="30"/>
      <c r="D168" s="30"/>
      <c r="E168" s="30"/>
      <c r="F168" s="58"/>
      <c r="G168" s="19"/>
      <c r="H168" s="30"/>
      <c r="I168" s="30"/>
      <c r="J168" s="58"/>
      <c r="K168" s="30" t="str">
        <f aca="false">IF($F168="","",IF(AND($F168&gt;=集計!$B$1,$F168&lt;=集計!$B$2),1,0))</f>
        <v/>
      </c>
      <c r="L168" s="19"/>
    </row>
    <row r="169" customFormat="false" ht="15" hidden="false" customHeight="true" outlineLevel="0" collapsed="false">
      <c r="A169" s="30" t="n">
        <v>168</v>
      </c>
      <c r="B169" s="30"/>
      <c r="C169" s="30"/>
      <c r="D169" s="30"/>
      <c r="E169" s="30"/>
      <c r="F169" s="58"/>
      <c r="G169" s="19"/>
      <c r="H169" s="30"/>
      <c r="I169" s="30"/>
      <c r="J169" s="58"/>
      <c r="K169" s="30" t="str">
        <f aca="false">IF($F169="","",IF(AND($F169&gt;=集計!$B$1,$F169&lt;=集計!$B$2),1,0))</f>
        <v/>
      </c>
      <c r="L169" s="19"/>
    </row>
    <row r="170" customFormat="false" ht="15" hidden="false" customHeight="true" outlineLevel="0" collapsed="false">
      <c r="A170" s="30" t="n">
        <v>169</v>
      </c>
      <c r="B170" s="30"/>
      <c r="C170" s="30"/>
      <c r="D170" s="30"/>
      <c r="E170" s="30"/>
      <c r="F170" s="58"/>
      <c r="G170" s="19"/>
      <c r="H170" s="30"/>
      <c r="I170" s="30"/>
      <c r="J170" s="58"/>
      <c r="K170" s="30" t="str">
        <f aca="false">IF($F170="","",IF(AND($F170&gt;=集計!$B$1,$F170&lt;=集計!$B$2),1,0))</f>
        <v/>
      </c>
      <c r="L170" s="19"/>
    </row>
    <row r="171" customFormat="false" ht="15" hidden="false" customHeight="true" outlineLevel="0" collapsed="false">
      <c r="A171" s="30" t="n">
        <v>170</v>
      </c>
      <c r="B171" s="30"/>
      <c r="C171" s="30"/>
      <c r="D171" s="30"/>
      <c r="E171" s="30"/>
      <c r="F171" s="58"/>
      <c r="G171" s="19"/>
      <c r="H171" s="30"/>
      <c r="I171" s="30"/>
      <c r="J171" s="58"/>
      <c r="K171" s="30" t="str">
        <f aca="false">IF($F171="","",IF(AND($F171&gt;=集計!$B$1,$F171&lt;=集計!$B$2),1,0))</f>
        <v/>
      </c>
      <c r="L171" s="19"/>
    </row>
    <row r="172" customFormat="false" ht="15" hidden="false" customHeight="true" outlineLevel="0" collapsed="false">
      <c r="A172" s="30" t="n">
        <v>171</v>
      </c>
      <c r="B172" s="30"/>
      <c r="C172" s="30"/>
      <c r="D172" s="30"/>
      <c r="E172" s="30"/>
      <c r="F172" s="58"/>
      <c r="G172" s="19"/>
      <c r="H172" s="30"/>
      <c r="I172" s="30"/>
      <c r="J172" s="58"/>
      <c r="K172" s="30" t="str">
        <f aca="false">IF($F172="","",IF(AND($F172&gt;=集計!$B$1,$F172&lt;=集計!$B$2),1,0))</f>
        <v/>
      </c>
      <c r="L172" s="19"/>
    </row>
    <row r="173" customFormat="false" ht="15" hidden="false" customHeight="true" outlineLevel="0" collapsed="false">
      <c r="A173" s="30" t="n">
        <v>172</v>
      </c>
      <c r="B173" s="30"/>
      <c r="C173" s="30"/>
      <c r="D173" s="30"/>
      <c r="E173" s="30"/>
      <c r="F173" s="58"/>
      <c r="G173" s="19"/>
      <c r="H173" s="30"/>
      <c r="I173" s="30"/>
      <c r="J173" s="58"/>
      <c r="K173" s="30" t="str">
        <f aca="false">IF($F173="","",IF(AND($F173&gt;=集計!$B$1,$F173&lt;=集計!$B$2),1,0))</f>
        <v/>
      </c>
      <c r="L173" s="19"/>
    </row>
    <row r="174" customFormat="false" ht="15" hidden="false" customHeight="true" outlineLevel="0" collapsed="false">
      <c r="A174" s="30" t="n">
        <v>173</v>
      </c>
      <c r="B174" s="30"/>
      <c r="C174" s="30"/>
      <c r="D174" s="30"/>
      <c r="E174" s="30"/>
      <c r="F174" s="58"/>
      <c r="G174" s="19"/>
      <c r="H174" s="30"/>
      <c r="I174" s="30"/>
      <c r="J174" s="58"/>
      <c r="K174" s="30" t="str">
        <f aca="false">IF($F174="","",IF(AND($F174&gt;=集計!$B$1,$F174&lt;=集計!$B$2),1,0))</f>
        <v/>
      </c>
      <c r="L174" s="19"/>
    </row>
    <row r="175" customFormat="false" ht="15" hidden="false" customHeight="true" outlineLevel="0" collapsed="false">
      <c r="A175" s="30" t="n">
        <v>174</v>
      </c>
      <c r="B175" s="30"/>
      <c r="C175" s="30"/>
      <c r="D175" s="30"/>
      <c r="E175" s="30"/>
      <c r="F175" s="58"/>
      <c r="G175" s="19"/>
      <c r="H175" s="30"/>
      <c r="I175" s="30"/>
      <c r="J175" s="58"/>
      <c r="K175" s="30" t="str">
        <f aca="false">IF($F175="","",IF(AND($F175&gt;=集計!$B$1,$F175&lt;=集計!$B$2),1,0))</f>
        <v/>
      </c>
      <c r="L175" s="19"/>
    </row>
    <row r="176" customFormat="false" ht="15" hidden="false" customHeight="true" outlineLevel="0" collapsed="false">
      <c r="A176" s="30" t="n">
        <v>175</v>
      </c>
      <c r="B176" s="30"/>
      <c r="C176" s="30"/>
      <c r="D176" s="30"/>
      <c r="E176" s="30"/>
      <c r="F176" s="58"/>
      <c r="G176" s="19"/>
      <c r="H176" s="30"/>
      <c r="I176" s="30"/>
      <c r="J176" s="58"/>
      <c r="K176" s="30" t="str">
        <f aca="false">IF($F176="","",IF(AND($F176&gt;=集計!$B$1,$F176&lt;=集計!$B$2),1,0))</f>
        <v/>
      </c>
      <c r="L176" s="19"/>
    </row>
    <row r="177" customFormat="false" ht="15" hidden="false" customHeight="true" outlineLevel="0" collapsed="false">
      <c r="A177" s="30" t="n">
        <v>176</v>
      </c>
      <c r="B177" s="30"/>
      <c r="C177" s="30"/>
      <c r="D177" s="30"/>
      <c r="E177" s="30"/>
      <c r="F177" s="58"/>
      <c r="G177" s="19"/>
      <c r="H177" s="30"/>
      <c r="I177" s="30"/>
      <c r="J177" s="58"/>
      <c r="K177" s="30" t="str">
        <f aca="false">IF($F177="","",IF(AND($F177&gt;=集計!$B$1,$F177&lt;=集計!$B$2),1,0))</f>
        <v/>
      </c>
      <c r="L177" s="19"/>
    </row>
    <row r="178" customFormat="false" ht="15" hidden="false" customHeight="true" outlineLevel="0" collapsed="false">
      <c r="A178" s="30" t="n">
        <v>177</v>
      </c>
      <c r="B178" s="30"/>
      <c r="C178" s="30"/>
      <c r="D178" s="30"/>
      <c r="E178" s="30"/>
      <c r="F178" s="58"/>
      <c r="G178" s="19"/>
      <c r="H178" s="30"/>
      <c r="I178" s="30"/>
      <c r="J178" s="58"/>
      <c r="K178" s="30" t="str">
        <f aca="false">IF($F178="","",IF(AND($F178&gt;=集計!$B$1,$F178&lt;=集計!$B$2),1,0))</f>
        <v/>
      </c>
      <c r="L178" s="19"/>
    </row>
    <row r="179" customFormat="false" ht="15" hidden="false" customHeight="true" outlineLevel="0" collapsed="false">
      <c r="A179" s="30" t="n">
        <v>178</v>
      </c>
      <c r="B179" s="30"/>
      <c r="C179" s="30"/>
      <c r="D179" s="30"/>
      <c r="E179" s="30"/>
      <c r="F179" s="58"/>
      <c r="G179" s="19"/>
      <c r="H179" s="30"/>
      <c r="I179" s="30"/>
      <c r="J179" s="58"/>
      <c r="K179" s="30" t="str">
        <f aca="false">IF($F179="","",IF(AND($F179&gt;=集計!$B$1,$F179&lt;=集計!$B$2),1,0))</f>
        <v/>
      </c>
      <c r="L179" s="19"/>
    </row>
    <row r="180" customFormat="false" ht="15" hidden="false" customHeight="true" outlineLevel="0" collapsed="false">
      <c r="A180" s="30" t="n">
        <v>179</v>
      </c>
      <c r="B180" s="30"/>
      <c r="C180" s="30"/>
      <c r="D180" s="30"/>
      <c r="E180" s="30"/>
      <c r="F180" s="58"/>
      <c r="G180" s="19"/>
      <c r="H180" s="30"/>
      <c r="I180" s="30"/>
      <c r="J180" s="58"/>
      <c r="K180" s="30" t="str">
        <f aca="false">IF($F180="","",IF(AND($F180&gt;=集計!$B$1,$F180&lt;=集計!$B$2),1,0))</f>
        <v/>
      </c>
      <c r="L180" s="19"/>
    </row>
    <row r="181" customFormat="false" ht="15" hidden="false" customHeight="true" outlineLevel="0" collapsed="false">
      <c r="A181" s="30" t="n">
        <v>180</v>
      </c>
      <c r="B181" s="30"/>
      <c r="C181" s="30"/>
      <c r="D181" s="30"/>
      <c r="E181" s="30"/>
      <c r="F181" s="58"/>
      <c r="G181" s="19"/>
      <c r="H181" s="30"/>
      <c r="I181" s="30"/>
      <c r="J181" s="58"/>
      <c r="K181" s="30" t="str">
        <f aca="false">IF($F181="","",IF(AND($F181&gt;=集計!$B$1,$F181&lt;=集計!$B$2),1,0))</f>
        <v/>
      </c>
      <c r="L181" s="19"/>
    </row>
    <row r="182" customFormat="false" ht="15" hidden="false" customHeight="true" outlineLevel="0" collapsed="false">
      <c r="A182" s="30" t="n">
        <v>181</v>
      </c>
      <c r="B182" s="30"/>
      <c r="C182" s="30"/>
      <c r="D182" s="30"/>
      <c r="E182" s="30"/>
      <c r="F182" s="58"/>
      <c r="G182" s="19"/>
      <c r="H182" s="30"/>
      <c r="I182" s="30"/>
      <c r="J182" s="58"/>
      <c r="K182" s="30" t="str">
        <f aca="false">IF($F182="","",IF(AND($F182&gt;=集計!$B$1,$F182&lt;=集計!$B$2),1,0))</f>
        <v/>
      </c>
      <c r="L182" s="19"/>
    </row>
    <row r="183" customFormat="false" ht="15" hidden="false" customHeight="true" outlineLevel="0" collapsed="false">
      <c r="A183" s="30" t="n">
        <v>182</v>
      </c>
      <c r="B183" s="30"/>
      <c r="C183" s="30"/>
      <c r="D183" s="30"/>
      <c r="E183" s="30"/>
      <c r="F183" s="58"/>
      <c r="G183" s="19"/>
      <c r="H183" s="30"/>
      <c r="I183" s="30"/>
      <c r="J183" s="58"/>
      <c r="K183" s="30" t="str">
        <f aca="false">IF($F183="","",IF(AND($F183&gt;=集計!$B$1,$F183&lt;=集計!$B$2),1,0))</f>
        <v/>
      </c>
      <c r="L183" s="19"/>
    </row>
    <row r="184" customFormat="false" ht="15" hidden="false" customHeight="true" outlineLevel="0" collapsed="false">
      <c r="A184" s="30" t="n">
        <v>183</v>
      </c>
      <c r="B184" s="30"/>
      <c r="C184" s="30"/>
      <c r="D184" s="30"/>
      <c r="E184" s="30"/>
      <c r="F184" s="58"/>
      <c r="G184" s="19"/>
      <c r="H184" s="30"/>
      <c r="I184" s="30"/>
      <c r="J184" s="58"/>
      <c r="K184" s="30" t="str">
        <f aca="false">IF($F184="","",IF(AND($F184&gt;=集計!$B$1,$F184&lt;=集計!$B$2),1,0))</f>
        <v/>
      </c>
      <c r="L184" s="19"/>
    </row>
    <row r="185" customFormat="false" ht="15" hidden="false" customHeight="true" outlineLevel="0" collapsed="false">
      <c r="A185" s="30" t="n">
        <v>184</v>
      </c>
      <c r="B185" s="30"/>
      <c r="C185" s="30"/>
      <c r="D185" s="30"/>
      <c r="E185" s="30"/>
      <c r="F185" s="58"/>
      <c r="G185" s="19"/>
      <c r="H185" s="30"/>
      <c r="I185" s="30"/>
      <c r="J185" s="58"/>
      <c r="K185" s="30" t="str">
        <f aca="false">IF($F185="","",IF(AND($F185&gt;=集計!$B$1,$F185&lt;=集計!$B$2),1,0))</f>
        <v/>
      </c>
      <c r="L185" s="19"/>
    </row>
    <row r="186" customFormat="false" ht="15" hidden="false" customHeight="true" outlineLevel="0" collapsed="false">
      <c r="A186" s="30" t="n">
        <v>185</v>
      </c>
      <c r="B186" s="30"/>
      <c r="C186" s="30"/>
      <c r="D186" s="30"/>
      <c r="E186" s="30"/>
      <c r="F186" s="58"/>
      <c r="G186" s="19"/>
      <c r="H186" s="30"/>
      <c r="I186" s="30"/>
      <c r="J186" s="58"/>
      <c r="K186" s="30" t="str">
        <f aca="false">IF($F186="","",IF(AND($F186&gt;=集計!$B$1,$F186&lt;=集計!$B$2),1,0))</f>
        <v/>
      </c>
      <c r="L186" s="19"/>
    </row>
    <row r="187" customFormat="false" ht="15" hidden="false" customHeight="true" outlineLevel="0" collapsed="false">
      <c r="A187" s="30" t="n">
        <v>186</v>
      </c>
      <c r="B187" s="30"/>
      <c r="C187" s="30"/>
      <c r="D187" s="30"/>
      <c r="E187" s="30"/>
      <c r="F187" s="58"/>
      <c r="G187" s="19"/>
      <c r="H187" s="30"/>
      <c r="I187" s="30"/>
      <c r="J187" s="58"/>
      <c r="K187" s="30" t="str">
        <f aca="false">IF($F187="","",IF(AND($F187&gt;=集計!$B$1,$F187&lt;=集計!$B$2),1,0))</f>
        <v/>
      </c>
      <c r="L187" s="19"/>
    </row>
    <row r="188" customFormat="false" ht="15" hidden="false" customHeight="true" outlineLevel="0" collapsed="false">
      <c r="A188" s="30" t="n">
        <v>187</v>
      </c>
      <c r="B188" s="30"/>
      <c r="C188" s="30"/>
      <c r="D188" s="30"/>
      <c r="E188" s="30"/>
      <c r="F188" s="58"/>
      <c r="G188" s="19"/>
      <c r="H188" s="30"/>
      <c r="I188" s="30"/>
      <c r="J188" s="58"/>
      <c r="K188" s="30" t="str">
        <f aca="false">IF($F188="","",IF(AND($F188&gt;=集計!$B$1,$F188&lt;=集計!$B$2),1,0))</f>
        <v/>
      </c>
      <c r="L188" s="19"/>
    </row>
    <row r="189" customFormat="false" ht="15" hidden="false" customHeight="true" outlineLevel="0" collapsed="false">
      <c r="A189" s="30" t="n">
        <v>188</v>
      </c>
      <c r="B189" s="30"/>
      <c r="C189" s="30"/>
      <c r="D189" s="30"/>
      <c r="E189" s="30"/>
      <c r="F189" s="58"/>
      <c r="G189" s="19"/>
      <c r="H189" s="30"/>
      <c r="I189" s="30"/>
      <c r="J189" s="58"/>
      <c r="K189" s="30" t="str">
        <f aca="false">IF($F189="","",IF(AND($F189&gt;=集計!$B$1,$F189&lt;=集計!$B$2),1,0))</f>
        <v/>
      </c>
      <c r="L189" s="19"/>
    </row>
    <row r="190" customFormat="false" ht="15" hidden="false" customHeight="true" outlineLevel="0" collapsed="false">
      <c r="A190" s="30" t="n">
        <v>189</v>
      </c>
      <c r="B190" s="30"/>
      <c r="C190" s="30"/>
      <c r="D190" s="30"/>
      <c r="E190" s="30"/>
      <c r="F190" s="58"/>
      <c r="G190" s="19"/>
      <c r="H190" s="30"/>
      <c r="I190" s="30"/>
      <c r="J190" s="58"/>
      <c r="K190" s="30" t="str">
        <f aca="false">IF($F190="","",IF(AND($F190&gt;=集計!$B$1,$F190&lt;=集計!$B$2),1,0))</f>
        <v/>
      </c>
      <c r="L190" s="19"/>
    </row>
    <row r="191" customFormat="false" ht="15" hidden="false" customHeight="true" outlineLevel="0" collapsed="false">
      <c r="A191" s="30" t="n">
        <v>190</v>
      </c>
      <c r="B191" s="30"/>
      <c r="C191" s="30"/>
      <c r="D191" s="30"/>
      <c r="E191" s="30"/>
      <c r="F191" s="58"/>
      <c r="G191" s="19"/>
      <c r="H191" s="30"/>
      <c r="I191" s="30"/>
      <c r="J191" s="58"/>
      <c r="K191" s="30" t="str">
        <f aca="false">IF($F191="","",IF(AND($F191&gt;=集計!$B$1,$F191&lt;=集計!$B$2),1,0))</f>
        <v/>
      </c>
      <c r="L191" s="19"/>
    </row>
    <row r="192" customFormat="false" ht="15" hidden="false" customHeight="true" outlineLevel="0" collapsed="false">
      <c r="A192" s="30" t="n">
        <v>191</v>
      </c>
      <c r="B192" s="30"/>
      <c r="C192" s="30"/>
      <c r="D192" s="30"/>
      <c r="E192" s="30"/>
      <c r="F192" s="58"/>
      <c r="G192" s="19"/>
      <c r="H192" s="30"/>
      <c r="I192" s="30"/>
      <c r="J192" s="58"/>
      <c r="K192" s="30" t="str">
        <f aca="false">IF($F192="","",IF(AND($F192&gt;=集計!$B$1,$F192&lt;=集計!$B$2),1,0))</f>
        <v/>
      </c>
      <c r="L192" s="19"/>
    </row>
    <row r="193" customFormat="false" ht="15" hidden="false" customHeight="true" outlineLevel="0" collapsed="false">
      <c r="A193" s="30" t="n">
        <v>192</v>
      </c>
      <c r="B193" s="30"/>
      <c r="C193" s="30"/>
      <c r="D193" s="30"/>
      <c r="E193" s="30"/>
      <c r="F193" s="58"/>
      <c r="G193" s="19"/>
      <c r="H193" s="30"/>
      <c r="I193" s="30"/>
      <c r="J193" s="58"/>
      <c r="K193" s="30" t="str">
        <f aca="false">IF($F193="","",IF(AND($F193&gt;=集計!$B$1,$F193&lt;=集計!$B$2),1,0))</f>
        <v/>
      </c>
      <c r="L193" s="19"/>
    </row>
    <row r="194" customFormat="false" ht="15" hidden="false" customHeight="true" outlineLevel="0" collapsed="false">
      <c r="A194" s="30" t="n">
        <v>193</v>
      </c>
      <c r="B194" s="30"/>
      <c r="C194" s="30"/>
      <c r="D194" s="30"/>
      <c r="E194" s="30"/>
      <c r="F194" s="58"/>
      <c r="G194" s="19"/>
      <c r="H194" s="30"/>
      <c r="I194" s="30"/>
      <c r="J194" s="58"/>
      <c r="K194" s="30" t="str">
        <f aca="false">IF($F194="","",IF(AND($F194&gt;=集計!$B$1,$F194&lt;=集計!$B$2),1,0))</f>
        <v/>
      </c>
      <c r="L194" s="19"/>
    </row>
    <row r="195" customFormat="false" ht="15" hidden="false" customHeight="true" outlineLevel="0" collapsed="false">
      <c r="A195" s="30" t="n">
        <v>194</v>
      </c>
      <c r="B195" s="30"/>
      <c r="C195" s="30"/>
      <c r="D195" s="30"/>
      <c r="E195" s="30"/>
      <c r="F195" s="58"/>
      <c r="G195" s="19"/>
      <c r="H195" s="30"/>
      <c r="I195" s="30"/>
      <c r="J195" s="58"/>
      <c r="K195" s="30" t="str">
        <f aca="false">IF($F195="","",IF(AND($F195&gt;=集計!$B$1,$F195&lt;=集計!$B$2),1,0))</f>
        <v/>
      </c>
      <c r="L195" s="19"/>
    </row>
    <row r="196" customFormat="false" ht="15" hidden="false" customHeight="true" outlineLevel="0" collapsed="false">
      <c r="A196" s="30" t="n">
        <v>195</v>
      </c>
      <c r="B196" s="30"/>
      <c r="C196" s="30"/>
      <c r="D196" s="30"/>
      <c r="E196" s="30"/>
      <c r="F196" s="58"/>
      <c r="G196" s="19"/>
      <c r="H196" s="30"/>
      <c r="I196" s="30"/>
      <c r="J196" s="58"/>
      <c r="K196" s="30" t="str">
        <f aca="false">IF($F196="","",IF(AND($F196&gt;=集計!$B$1,$F196&lt;=集計!$B$2),1,0))</f>
        <v/>
      </c>
      <c r="L196" s="19"/>
    </row>
    <row r="197" customFormat="false" ht="15" hidden="false" customHeight="true" outlineLevel="0" collapsed="false">
      <c r="A197" s="30" t="n">
        <v>196</v>
      </c>
      <c r="B197" s="30"/>
      <c r="C197" s="30"/>
      <c r="D197" s="30"/>
      <c r="E197" s="30"/>
      <c r="F197" s="58"/>
      <c r="G197" s="19"/>
      <c r="H197" s="30"/>
      <c r="I197" s="30"/>
      <c r="J197" s="58"/>
      <c r="K197" s="30" t="str">
        <f aca="false">IF($F197="","",IF(AND($F197&gt;=集計!$B$1,$F197&lt;=集計!$B$2),1,0))</f>
        <v/>
      </c>
      <c r="L197" s="19"/>
    </row>
    <row r="198" customFormat="false" ht="15" hidden="false" customHeight="true" outlineLevel="0" collapsed="false">
      <c r="A198" s="30" t="n">
        <v>197</v>
      </c>
      <c r="B198" s="30"/>
      <c r="C198" s="30"/>
      <c r="D198" s="30"/>
      <c r="E198" s="30"/>
      <c r="F198" s="58"/>
      <c r="G198" s="19"/>
      <c r="H198" s="30"/>
      <c r="I198" s="30"/>
      <c r="J198" s="58"/>
      <c r="K198" s="30" t="str">
        <f aca="false">IF($F198="","",IF(AND($F198&gt;=集計!$B$1,$F198&lt;=集計!$B$2),1,0))</f>
        <v/>
      </c>
      <c r="L198" s="19"/>
    </row>
    <row r="199" customFormat="false" ht="15" hidden="false" customHeight="true" outlineLevel="0" collapsed="false">
      <c r="A199" s="30" t="n">
        <v>198</v>
      </c>
      <c r="B199" s="30"/>
      <c r="C199" s="30"/>
      <c r="D199" s="30"/>
      <c r="E199" s="30"/>
      <c r="F199" s="58"/>
      <c r="G199" s="19"/>
      <c r="H199" s="30"/>
      <c r="I199" s="30"/>
      <c r="J199" s="58"/>
      <c r="K199" s="30" t="str">
        <f aca="false">IF($F199="","",IF(AND($F199&gt;=集計!$B$1,$F199&lt;=集計!$B$2),1,0))</f>
        <v/>
      </c>
      <c r="L199" s="19"/>
    </row>
    <row r="200" customFormat="false" ht="15" hidden="false" customHeight="true" outlineLevel="0" collapsed="false">
      <c r="A200" s="30" t="n">
        <v>199</v>
      </c>
      <c r="B200" s="30"/>
      <c r="C200" s="30"/>
      <c r="D200" s="30"/>
      <c r="E200" s="30"/>
      <c r="F200" s="58"/>
      <c r="G200" s="19"/>
      <c r="H200" s="30"/>
      <c r="I200" s="30"/>
      <c r="J200" s="58"/>
      <c r="K200" s="30" t="str">
        <f aca="false">IF($F200="","",IF(AND($F200&gt;=集計!$B$1,$F200&lt;=集計!$B$2),1,0))</f>
        <v/>
      </c>
      <c r="L200" s="19"/>
    </row>
    <row r="201" customFormat="false" ht="15" hidden="false" customHeight="true" outlineLevel="0" collapsed="false">
      <c r="A201" s="30" t="n">
        <v>200</v>
      </c>
      <c r="B201" s="30"/>
      <c r="C201" s="30"/>
      <c r="D201" s="30"/>
      <c r="E201" s="30"/>
      <c r="F201" s="58"/>
      <c r="G201" s="19"/>
      <c r="H201" s="30"/>
      <c r="I201" s="30"/>
      <c r="J201" s="58"/>
      <c r="K201" s="30" t="str">
        <f aca="false">IF($F201="","",IF(AND($F201&gt;=集計!$B$1,$F201&lt;=集計!$B$2),1,0))</f>
        <v/>
      </c>
      <c r="L201" s="19"/>
    </row>
    <row r="202" customFormat="false" ht="15" hidden="false" customHeight="true" outlineLevel="0" collapsed="false">
      <c r="A202" s="30" t="n">
        <v>201</v>
      </c>
      <c r="B202" s="30"/>
      <c r="C202" s="30"/>
      <c r="D202" s="30"/>
      <c r="E202" s="30"/>
      <c r="F202" s="58"/>
      <c r="G202" s="19"/>
      <c r="H202" s="30"/>
      <c r="I202" s="30"/>
      <c r="J202" s="58"/>
      <c r="K202" s="30" t="str">
        <f aca="false">IF($F202="","",IF(AND($F202&gt;=集計!$B$1,$F202&lt;=集計!$B$2),1,0))</f>
        <v/>
      </c>
      <c r="L202" s="19"/>
    </row>
    <row r="203" customFormat="false" ht="15" hidden="false" customHeight="true" outlineLevel="0" collapsed="false">
      <c r="A203" s="30" t="n">
        <v>202</v>
      </c>
      <c r="B203" s="30"/>
      <c r="C203" s="30"/>
      <c r="D203" s="30"/>
      <c r="E203" s="30"/>
      <c r="F203" s="58"/>
      <c r="G203" s="19"/>
      <c r="H203" s="30"/>
      <c r="I203" s="30"/>
      <c r="J203" s="58"/>
      <c r="K203" s="30" t="str">
        <f aca="false">IF($F203="","",IF(AND($F203&gt;=集計!$B$1,$F203&lt;=集計!$B$2),1,0))</f>
        <v/>
      </c>
      <c r="L203" s="19"/>
    </row>
    <row r="204" customFormat="false" ht="15" hidden="false" customHeight="true" outlineLevel="0" collapsed="false">
      <c r="A204" s="30" t="n">
        <v>203</v>
      </c>
      <c r="B204" s="30"/>
      <c r="C204" s="30"/>
      <c r="D204" s="30"/>
      <c r="E204" s="30"/>
      <c r="F204" s="58"/>
      <c r="G204" s="19"/>
      <c r="H204" s="30"/>
      <c r="I204" s="30"/>
      <c r="J204" s="58"/>
      <c r="K204" s="30" t="str">
        <f aca="false">IF($F204="","",IF(AND($F204&gt;=集計!$B$1,$F204&lt;=集計!$B$2),1,0))</f>
        <v/>
      </c>
      <c r="L204" s="19"/>
    </row>
    <row r="205" customFormat="false" ht="15" hidden="false" customHeight="true" outlineLevel="0" collapsed="false">
      <c r="A205" s="30" t="n">
        <v>204</v>
      </c>
      <c r="B205" s="30"/>
      <c r="C205" s="30"/>
      <c r="D205" s="30"/>
      <c r="E205" s="30"/>
      <c r="F205" s="58"/>
      <c r="G205" s="19"/>
      <c r="H205" s="30"/>
      <c r="I205" s="30"/>
      <c r="J205" s="58"/>
      <c r="K205" s="30" t="str">
        <f aca="false">IF($F205="","",IF(AND($F205&gt;=集計!$B$1,$F205&lt;=集計!$B$2),1,0))</f>
        <v/>
      </c>
      <c r="L205" s="19"/>
    </row>
    <row r="206" customFormat="false" ht="15" hidden="false" customHeight="true" outlineLevel="0" collapsed="false">
      <c r="A206" s="30" t="n">
        <v>205</v>
      </c>
      <c r="B206" s="30"/>
      <c r="C206" s="30"/>
      <c r="D206" s="30"/>
      <c r="E206" s="30"/>
      <c r="F206" s="58"/>
      <c r="G206" s="19"/>
      <c r="H206" s="30"/>
      <c r="I206" s="30"/>
      <c r="J206" s="58"/>
      <c r="K206" s="30" t="str">
        <f aca="false">IF($F206="","",IF(AND($F206&gt;=集計!$B$1,$F206&lt;=集計!$B$2),1,0))</f>
        <v/>
      </c>
      <c r="L206" s="19"/>
    </row>
    <row r="207" customFormat="false" ht="15" hidden="false" customHeight="true" outlineLevel="0" collapsed="false">
      <c r="A207" s="30" t="n">
        <v>206</v>
      </c>
      <c r="B207" s="30"/>
      <c r="C207" s="30"/>
      <c r="D207" s="30"/>
      <c r="E207" s="30"/>
      <c r="F207" s="58"/>
      <c r="G207" s="19"/>
      <c r="H207" s="30"/>
      <c r="I207" s="30"/>
      <c r="J207" s="58"/>
      <c r="K207" s="30" t="str">
        <f aca="false">IF($F207="","",IF(AND($F207&gt;=集計!$B$1,$F207&lt;=集計!$B$2),1,0))</f>
        <v/>
      </c>
      <c r="L207" s="19"/>
    </row>
    <row r="208" customFormat="false" ht="15" hidden="false" customHeight="true" outlineLevel="0" collapsed="false">
      <c r="A208" s="30" t="n">
        <v>207</v>
      </c>
      <c r="B208" s="30"/>
      <c r="C208" s="30"/>
      <c r="D208" s="30"/>
      <c r="E208" s="30"/>
      <c r="F208" s="58"/>
      <c r="G208" s="19"/>
      <c r="H208" s="30"/>
      <c r="I208" s="30"/>
      <c r="J208" s="58"/>
      <c r="K208" s="30" t="str">
        <f aca="false">IF($F208="","",IF(AND($F208&gt;=集計!$B$1,$F208&lt;=集計!$B$2),1,0))</f>
        <v/>
      </c>
      <c r="L208" s="19"/>
    </row>
    <row r="209" customFormat="false" ht="15" hidden="false" customHeight="true" outlineLevel="0" collapsed="false">
      <c r="A209" s="30" t="n">
        <v>208</v>
      </c>
      <c r="B209" s="30"/>
      <c r="C209" s="30"/>
      <c r="D209" s="30"/>
      <c r="E209" s="30"/>
      <c r="F209" s="58"/>
      <c r="G209" s="19"/>
      <c r="H209" s="30"/>
      <c r="I209" s="30"/>
      <c r="J209" s="58"/>
      <c r="K209" s="30" t="str">
        <f aca="false">IF($F209="","",IF(AND($F209&gt;=集計!$B$1,$F209&lt;=集計!$B$2),1,0))</f>
        <v/>
      </c>
      <c r="L209" s="19"/>
    </row>
    <row r="210" customFormat="false" ht="15" hidden="false" customHeight="true" outlineLevel="0" collapsed="false">
      <c r="A210" s="30" t="n">
        <v>209</v>
      </c>
      <c r="B210" s="30"/>
      <c r="C210" s="30"/>
      <c r="D210" s="30"/>
      <c r="E210" s="30"/>
      <c r="F210" s="58"/>
      <c r="G210" s="19"/>
      <c r="H210" s="30"/>
      <c r="I210" s="30"/>
      <c r="J210" s="58"/>
      <c r="K210" s="30" t="str">
        <f aca="false">IF($F210="","",IF(AND($F210&gt;=集計!$B$1,$F210&lt;=集計!$B$2),1,0))</f>
        <v/>
      </c>
      <c r="L210" s="19"/>
    </row>
    <row r="211" customFormat="false" ht="15" hidden="false" customHeight="true" outlineLevel="0" collapsed="false">
      <c r="A211" s="30" t="n">
        <v>210</v>
      </c>
      <c r="B211" s="30"/>
      <c r="C211" s="30"/>
      <c r="D211" s="30"/>
      <c r="E211" s="30"/>
      <c r="F211" s="58"/>
      <c r="G211" s="19"/>
      <c r="H211" s="30"/>
      <c r="I211" s="30"/>
      <c r="J211" s="58"/>
      <c r="K211" s="30" t="str">
        <f aca="false">IF($F211="","",IF(AND($F211&gt;=集計!$B$1,$F211&lt;=集計!$B$2),1,0))</f>
        <v/>
      </c>
      <c r="L211" s="19"/>
    </row>
    <row r="212" customFormat="false" ht="15" hidden="false" customHeight="true" outlineLevel="0" collapsed="false">
      <c r="A212" s="30" t="n">
        <v>211</v>
      </c>
      <c r="B212" s="30"/>
      <c r="C212" s="30"/>
      <c r="D212" s="30"/>
      <c r="E212" s="30"/>
      <c r="F212" s="58"/>
      <c r="G212" s="19"/>
      <c r="H212" s="30"/>
      <c r="I212" s="30"/>
      <c r="J212" s="58"/>
      <c r="K212" s="30" t="str">
        <f aca="false">IF($F212="","",IF(AND($F212&gt;=集計!$B$1,$F212&lt;=集計!$B$2),1,0))</f>
        <v/>
      </c>
      <c r="L212" s="19"/>
    </row>
    <row r="213" customFormat="false" ht="15" hidden="false" customHeight="true" outlineLevel="0" collapsed="false">
      <c r="A213" s="30" t="n">
        <v>212</v>
      </c>
      <c r="B213" s="30"/>
      <c r="C213" s="30"/>
      <c r="D213" s="30"/>
      <c r="E213" s="30"/>
      <c r="F213" s="58"/>
      <c r="G213" s="19"/>
      <c r="H213" s="30"/>
      <c r="I213" s="30"/>
      <c r="J213" s="58"/>
      <c r="K213" s="30" t="str">
        <f aca="false">IF($F213="","",IF(AND($F213&gt;=集計!$B$1,$F213&lt;=集計!$B$2),1,0))</f>
        <v/>
      </c>
      <c r="L213" s="19"/>
    </row>
    <row r="214" customFormat="false" ht="15" hidden="false" customHeight="true" outlineLevel="0" collapsed="false">
      <c r="A214" s="30" t="n">
        <v>213</v>
      </c>
      <c r="B214" s="30"/>
      <c r="C214" s="30"/>
      <c r="D214" s="30"/>
      <c r="E214" s="30"/>
      <c r="F214" s="58"/>
      <c r="G214" s="19"/>
      <c r="H214" s="30"/>
      <c r="I214" s="30"/>
      <c r="J214" s="58"/>
      <c r="K214" s="30" t="str">
        <f aca="false">IF($F214="","",IF(AND($F214&gt;=集計!$B$1,$F214&lt;=集計!$B$2),1,0))</f>
        <v/>
      </c>
      <c r="L214" s="19"/>
    </row>
    <row r="215" customFormat="false" ht="15" hidden="false" customHeight="true" outlineLevel="0" collapsed="false">
      <c r="A215" s="30" t="n">
        <v>214</v>
      </c>
      <c r="B215" s="30"/>
      <c r="C215" s="30"/>
      <c r="D215" s="30"/>
      <c r="E215" s="30"/>
      <c r="F215" s="58"/>
      <c r="G215" s="19"/>
      <c r="H215" s="30"/>
      <c r="I215" s="30"/>
      <c r="J215" s="58"/>
      <c r="K215" s="30" t="str">
        <f aca="false">IF($F215="","",IF(AND($F215&gt;=集計!$B$1,$F215&lt;=集計!$B$2),1,0))</f>
        <v/>
      </c>
      <c r="L215" s="19"/>
    </row>
    <row r="216" customFormat="false" ht="15" hidden="false" customHeight="true" outlineLevel="0" collapsed="false">
      <c r="A216" s="30" t="n">
        <v>215</v>
      </c>
      <c r="B216" s="30"/>
      <c r="C216" s="30"/>
      <c r="D216" s="30"/>
      <c r="E216" s="30"/>
      <c r="F216" s="58"/>
      <c r="G216" s="19"/>
      <c r="H216" s="30"/>
      <c r="I216" s="30"/>
      <c r="J216" s="58"/>
      <c r="K216" s="30" t="str">
        <f aca="false">IF($F216="","",IF(AND($F216&gt;=集計!$B$1,$F216&lt;=集計!$B$2),1,0))</f>
        <v/>
      </c>
      <c r="L216" s="19"/>
    </row>
    <row r="217" customFormat="false" ht="15" hidden="false" customHeight="true" outlineLevel="0" collapsed="false">
      <c r="A217" s="30" t="n">
        <v>216</v>
      </c>
      <c r="B217" s="30"/>
      <c r="C217" s="30"/>
      <c r="D217" s="30"/>
      <c r="E217" s="30"/>
      <c r="F217" s="58"/>
      <c r="G217" s="19"/>
      <c r="H217" s="30"/>
      <c r="I217" s="30"/>
      <c r="J217" s="58"/>
      <c r="K217" s="30" t="str">
        <f aca="false">IF($F217="","",IF(AND($F217&gt;=集計!$B$1,$F217&lt;=集計!$B$2),1,0))</f>
        <v/>
      </c>
      <c r="L217" s="19"/>
    </row>
    <row r="218" customFormat="false" ht="15" hidden="false" customHeight="true" outlineLevel="0" collapsed="false">
      <c r="A218" s="30" t="n">
        <v>217</v>
      </c>
      <c r="B218" s="30"/>
      <c r="C218" s="30"/>
      <c r="D218" s="30"/>
      <c r="E218" s="30"/>
      <c r="F218" s="58"/>
      <c r="G218" s="19"/>
      <c r="H218" s="30"/>
      <c r="I218" s="30"/>
      <c r="J218" s="58"/>
      <c r="K218" s="30" t="str">
        <f aca="false">IF($F218="","",IF(AND($F218&gt;=集計!$B$1,$F218&lt;=集計!$B$2),1,0))</f>
        <v/>
      </c>
      <c r="L218" s="19"/>
    </row>
    <row r="219" customFormat="false" ht="15" hidden="false" customHeight="true" outlineLevel="0" collapsed="false">
      <c r="A219" s="30" t="n">
        <v>218</v>
      </c>
      <c r="B219" s="30"/>
      <c r="C219" s="30"/>
      <c r="D219" s="30"/>
      <c r="E219" s="30"/>
      <c r="F219" s="58"/>
      <c r="G219" s="19"/>
      <c r="H219" s="30"/>
      <c r="I219" s="30"/>
      <c r="J219" s="58"/>
      <c r="K219" s="30" t="str">
        <f aca="false">IF($F219="","",IF(AND($F219&gt;=集計!$B$1,$F219&lt;=集計!$B$2),1,0))</f>
        <v/>
      </c>
      <c r="L219" s="19"/>
    </row>
    <row r="220" customFormat="false" ht="15" hidden="false" customHeight="true" outlineLevel="0" collapsed="false">
      <c r="A220" s="30" t="n">
        <v>219</v>
      </c>
      <c r="B220" s="30"/>
      <c r="C220" s="30"/>
      <c r="D220" s="30"/>
      <c r="E220" s="30"/>
      <c r="F220" s="58"/>
      <c r="G220" s="19"/>
      <c r="H220" s="30"/>
      <c r="I220" s="30"/>
      <c r="J220" s="58"/>
      <c r="K220" s="30" t="str">
        <f aca="false">IF($F220="","",IF(AND($F220&gt;=集計!$B$1,$F220&lt;=集計!$B$2),1,0))</f>
        <v/>
      </c>
      <c r="L220" s="19"/>
    </row>
    <row r="221" customFormat="false" ht="15" hidden="false" customHeight="true" outlineLevel="0" collapsed="false">
      <c r="A221" s="30" t="n">
        <v>220</v>
      </c>
      <c r="B221" s="30"/>
      <c r="C221" s="30"/>
      <c r="D221" s="30"/>
      <c r="E221" s="30"/>
      <c r="F221" s="58"/>
      <c r="G221" s="19"/>
      <c r="H221" s="30"/>
      <c r="I221" s="30"/>
      <c r="J221" s="58"/>
      <c r="K221" s="30" t="str">
        <f aca="false">IF($F221="","",IF(AND($F221&gt;=集計!$B$1,$F221&lt;=集計!$B$2),1,0))</f>
        <v/>
      </c>
      <c r="L221" s="19"/>
    </row>
    <row r="222" customFormat="false" ht="15" hidden="false" customHeight="true" outlineLevel="0" collapsed="false">
      <c r="A222" s="30" t="n">
        <v>221</v>
      </c>
      <c r="B222" s="30"/>
      <c r="C222" s="30"/>
      <c r="D222" s="30"/>
      <c r="E222" s="30"/>
      <c r="F222" s="58"/>
      <c r="G222" s="19"/>
      <c r="H222" s="30"/>
      <c r="I222" s="30"/>
      <c r="J222" s="58"/>
      <c r="K222" s="30" t="str">
        <f aca="false">IF($F222="","",IF(AND($F222&gt;=集計!$B$1,$F222&lt;=集計!$B$2),1,0))</f>
        <v/>
      </c>
      <c r="L222" s="19"/>
    </row>
    <row r="223" customFormat="false" ht="15" hidden="false" customHeight="true" outlineLevel="0" collapsed="false">
      <c r="A223" s="30" t="n">
        <v>222</v>
      </c>
      <c r="B223" s="30"/>
      <c r="C223" s="30"/>
      <c r="D223" s="30"/>
      <c r="E223" s="30"/>
      <c r="F223" s="58"/>
      <c r="G223" s="19"/>
      <c r="H223" s="30"/>
      <c r="I223" s="30"/>
      <c r="J223" s="58"/>
      <c r="K223" s="30" t="str">
        <f aca="false">IF($F223="","",IF(AND($F223&gt;=集計!$B$1,$F223&lt;=集計!$B$2),1,0))</f>
        <v/>
      </c>
      <c r="L223" s="19"/>
    </row>
    <row r="224" customFormat="false" ht="15" hidden="false" customHeight="true" outlineLevel="0" collapsed="false">
      <c r="A224" s="30" t="n">
        <v>223</v>
      </c>
      <c r="B224" s="30"/>
      <c r="C224" s="30"/>
      <c r="D224" s="30"/>
      <c r="E224" s="30"/>
      <c r="F224" s="58"/>
      <c r="G224" s="19"/>
      <c r="H224" s="30"/>
      <c r="I224" s="30"/>
      <c r="J224" s="58"/>
      <c r="K224" s="30" t="str">
        <f aca="false">IF($F224="","",IF(AND($F224&gt;=集計!$B$1,$F224&lt;=集計!$B$2),1,0))</f>
        <v/>
      </c>
      <c r="L224" s="19"/>
    </row>
    <row r="225" customFormat="false" ht="15" hidden="false" customHeight="true" outlineLevel="0" collapsed="false">
      <c r="A225" s="30" t="n">
        <v>224</v>
      </c>
      <c r="B225" s="30"/>
      <c r="C225" s="30"/>
      <c r="D225" s="30"/>
      <c r="E225" s="30"/>
      <c r="F225" s="58"/>
      <c r="G225" s="19"/>
      <c r="H225" s="30"/>
      <c r="I225" s="30"/>
      <c r="J225" s="58"/>
      <c r="K225" s="30" t="str">
        <f aca="false">IF($F225="","",IF(AND($F225&gt;=集計!$B$1,$F225&lt;=集計!$B$2),1,0))</f>
        <v/>
      </c>
      <c r="L225" s="19"/>
    </row>
    <row r="226" customFormat="false" ht="15" hidden="false" customHeight="true" outlineLevel="0" collapsed="false">
      <c r="A226" s="30" t="n">
        <v>225</v>
      </c>
      <c r="B226" s="30"/>
      <c r="C226" s="30"/>
      <c r="D226" s="30"/>
      <c r="E226" s="30"/>
      <c r="F226" s="58"/>
      <c r="G226" s="19"/>
      <c r="H226" s="30"/>
      <c r="I226" s="30"/>
      <c r="J226" s="58"/>
      <c r="K226" s="30" t="str">
        <f aca="false">IF($F226="","",IF(AND($F226&gt;=集計!$B$1,$F226&lt;=集計!$B$2),1,0))</f>
        <v/>
      </c>
      <c r="L226" s="19"/>
    </row>
    <row r="227" customFormat="false" ht="15" hidden="false" customHeight="true" outlineLevel="0" collapsed="false">
      <c r="A227" s="30" t="n">
        <v>226</v>
      </c>
      <c r="B227" s="30"/>
      <c r="C227" s="30"/>
      <c r="D227" s="30"/>
      <c r="E227" s="30"/>
      <c r="F227" s="58"/>
      <c r="G227" s="19"/>
      <c r="H227" s="30"/>
      <c r="I227" s="30"/>
      <c r="J227" s="58"/>
      <c r="K227" s="30" t="str">
        <f aca="false">IF($F227="","",IF(AND($F227&gt;=集計!$B$1,$F227&lt;=集計!$B$2),1,0))</f>
        <v/>
      </c>
      <c r="L227" s="19"/>
    </row>
    <row r="228" customFormat="false" ht="15" hidden="false" customHeight="true" outlineLevel="0" collapsed="false">
      <c r="A228" s="30" t="n">
        <v>227</v>
      </c>
      <c r="B228" s="30"/>
      <c r="C228" s="30"/>
      <c r="D228" s="30"/>
      <c r="E228" s="30"/>
      <c r="F228" s="58"/>
      <c r="G228" s="19"/>
      <c r="H228" s="30"/>
      <c r="I228" s="30"/>
      <c r="J228" s="58"/>
      <c r="K228" s="30" t="str">
        <f aca="false">IF($F228="","",IF(AND($F228&gt;=集計!$B$1,$F228&lt;=集計!$B$2),1,0))</f>
        <v/>
      </c>
      <c r="L228" s="19"/>
    </row>
    <row r="229" customFormat="false" ht="15" hidden="false" customHeight="true" outlineLevel="0" collapsed="false">
      <c r="A229" s="30" t="n">
        <v>228</v>
      </c>
      <c r="B229" s="30"/>
      <c r="C229" s="30"/>
      <c r="D229" s="30"/>
      <c r="E229" s="30"/>
      <c r="F229" s="58"/>
      <c r="G229" s="19"/>
      <c r="H229" s="30"/>
      <c r="I229" s="30"/>
      <c r="J229" s="58"/>
      <c r="K229" s="30" t="str">
        <f aca="false">IF($F229="","",IF(AND($F229&gt;=集計!$B$1,$F229&lt;=集計!$B$2),1,0))</f>
        <v/>
      </c>
      <c r="L229" s="19"/>
    </row>
    <row r="230" customFormat="false" ht="15" hidden="false" customHeight="true" outlineLevel="0" collapsed="false">
      <c r="A230" s="30" t="n">
        <v>229</v>
      </c>
      <c r="B230" s="30"/>
      <c r="C230" s="30"/>
      <c r="D230" s="30"/>
      <c r="E230" s="30"/>
      <c r="F230" s="58"/>
      <c r="G230" s="19"/>
      <c r="H230" s="30"/>
      <c r="I230" s="30"/>
      <c r="J230" s="58"/>
      <c r="K230" s="30" t="str">
        <f aca="false">IF($F230="","",IF(AND($F230&gt;=集計!$B$1,$F230&lt;=集計!$B$2),1,0))</f>
        <v/>
      </c>
      <c r="L230" s="19"/>
    </row>
    <row r="231" customFormat="false" ht="15" hidden="false" customHeight="true" outlineLevel="0" collapsed="false">
      <c r="A231" s="30" t="n">
        <v>230</v>
      </c>
      <c r="B231" s="30"/>
      <c r="C231" s="30"/>
      <c r="D231" s="30"/>
      <c r="E231" s="30"/>
      <c r="F231" s="58"/>
      <c r="G231" s="19"/>
      <c r="H231" s="30"/>
      <c r="I231" s="30"/>
      <c r="J231" s="58"/>
      <c r="K231" s="30" t="str">
        <f aca="false">IF($F231="","",IF(AND($F231&gt;=集計!$B$1,$F231&lt;=集計!$B$2),1,0))</f>
        <v/>
      </c>
      <c r="L231" s="19"/>
    </row>
    <row r="232" customFormat="false" ht="15" hidden="false" customHeight="true" outlineLevel="0" collapsed="false">
      <c r="A232" s="30" t="n">
        <v>231</v>
      </c>
      <c r="B232" s="30"/>
      <c r="C232" s="30"/>
      <c r="D232" s="30"/>
      <c r="E232" s="30"/>
      <c r="F232" s="58"/>
      <c r="G232" s="19"/>
      <c r="H232" s="30"/>
      <c r="I232" s="30"/>
      <c r="J232" s="58"/>
      <c r="K232" s="30" t="str">
        <f aca="false">IF($F232="","",IF(AND($F232&gt;=集計!$B$1,$F232&lt;=集計!$B$2),1,0))</f>
        <v/>
      </c>
      <c r="L232" s="19"/>
    </row>
    <row r="233" customFormat="false" ht="15" hidden="false" customHeight="true" outlineLevel="0" collapsed="false">
      <c r="A233" s="30" t="n">
        <v>232</v>
      </c>
      <c r="B233" s="30"/>
      <c r="C233" s="30"/>
      <c r="D233" s="30"/>
      <c r="E233" s="30"/>
      <c r="F233" s="58"/>
      <c r="G233" s="19"/>
      <c r="H233" s="30"/>
      <c r="I233" s="30"/>
      <c r="J233" s="58"/>
      <c r="K233" s="30" t="str">
        <f aca="false">IF($F233="","",IF(AND($F233&gt;=集計!$B$1,$F233&lt;=集計!$B$2),1,0))</f>
        <v/>
      </c>
      <c r="L233" s="19"/>
    </row>
    <row r="234" customFormat="false" ht="15" hidden="false" customHeight="true" outlineLevel="0" collapsed="false">
      <c r="A234" s="30" t="n">
        <v>233</v>
      </c>
      <c r="B234" s="30"/>
      <c r="C234" s="30"/>
      <c r="D234" s="30"/>
      <c r="E234" s="30"/>
      <c r="F234" s="58"/>
      <c r="G234" s="19"/>
      <c r="H234" s="30"/>
      <c r="I234" s="30"/>
      <c r="J234" s="58"/>
      <c r="K234" s="30" t="str">
        <f aca="false">IF($F234="","",IF(AND($F234&gt;=集計!$B$1,$F234&lt;=集計!$B$2),1,0))</f>
        <v/>
      </c>
      <c r="L234" s="19"/>
    </row>
    <row r="235" customFormat="false" ht="15" hidden="false" customHeight="true" outlineLevel="0" collapsed="false">
      <c r="A235" s="30" t="n">
        <v>234</v>
      </c>
      <c r="B235" s="30"/>
      <c r="C235" s="30"/>
      <c r="D235" s="30"/>
      <c r="E235" s="30"/>
      <c r="F235" s="58"/>
      <c r="G235" s="19"/>
      <c r="H235" s="30"/>
      <c r="I235" s="30"/>
      <c r="J235" s="58"/>
      <c r="K235" s="30" t="str">
        <f aca="false">IF($F235="","",IF(AND($F235&gt;=集計!$B$1,$F235&lt;=集計!$B$2),1,0))</f>
        <v/>
      </c>
      <c r="L235" s="19"/>
    </row>
    <row r="236" customFormat="false" ht="15" hidden="false" customHeight="true" outlineLevel="0" collapsed="false">
      <c r="A236" s="30" t="n">
        <v>235</v>
      </c>
      <c r="B236" s="30"/>
      <c r="C236" s="30"/>
      <c r="D236" s="30"/>
      <c r="E236" s="30"/>
      <c r="F236" s="58"/>
      <c r="G236" s="19"/>
      <c r="H236" s="30"/>
      <c r="I236" s="30"/>
      <c r="J236" s="58"/>
      <c r="K236" s="30" t="str">
        <f aca="false">IF($F236="","",IF(AND($F236&gt;=集計!$B$1,$F236&lt;=集計!$B$2),1,0))</f>
        <v/>
      </c>
      <c r="L236" s="19"/>
    </row>
    <row r="237" customFormat="false" ht="15" hidden="false" customHeight="true" outlineLevel="0" collapsed="false">
      <c r="A237" s="30" t="n">
        <v>236</v>
      </c>
      <c r="B237" s="30"/>
      <c r="C237" s="30"/>
      <c r="D237" s="30"/>
      <c r="E237" s="30"/>
      <c r="F237" s="58"/>
      <c r="G237" s="19"/>
      <c r="H237" s="30"/>
      <c r="I237" s="30"/>
      <c r="J237" s="58"/>
      <c r="K237" s="30" t="str">
        <f aca="false">IF($F237="","",IF(AND($F237&gt;=集計!$B$1,$F237&lt;=集計!$B$2),1,0))</f>
        <v/>
      </c>
      <c r="L237" s="19"/>
    </row>
    <row r="238" customFormat="false" ht="15" hidden="false" customHeight="true" outlineLevel="0" collapsed="false">
      <c r="A238" s="30" t="n">
        <v>237</v>
      </c>
      <c r="B238" s="30"/>
      <c r="C238" s="30"/>
      <c r="D238" s="30"/>
      <c r="E238" s="30"/>
      <c r="F238" s="58"/>
      <c r="G238" s="19"/>
      <c r="H238" s="30"/>
      <c r="I238" s="30"/>
      <c r="J238" s="58"/>
      <c r="K238" s="30" t="str">
        <f aca="false">IF($F238="","",IF(AND($F238&gt;=集計!$B$1,$F238&lt;=集計!$B$2),1,0))</f>
        <v/>
      </c>
      <c r="L238" s="19"/>
    </row>
    <row r="239" customFormat="false" ht="15" hidden="false" customHeight="true" outlineLevel="0" collapsed="false">
      <c r="A239" s="30" t="n">
        <v>238</v>
      </c>
      <c r="B239" s="30"/>
      <c r="C239" s="30"/>
      <c r="D239" s="30"/>
      <c r="E239" s="30"/>
      <c r="F239" s="58"/>
      <c r="G239" s="19"/>
      <c r="H239" s="30"/>
      <c r="I239" s="30"/>
      <c r="J239" s="58"/>
      <c r="K239" s="30" t="str">
        <f aca="false">IF($F239="","",IF(AND($F239&gt;=集計!$B$1,$F239&lt;=集計!$B$2),1,0))</f>
        <v/>
      </c>
      <c r="L239" s="19"/>
    </row>
    <row r="240" customFormat="false" ht="15" hidden="false" customHeight="true" outlineLevel="0" collapsed="false">
      <c r="A240" s="30" t="n">
        <v>239</v>
      </c>
      <c r="B240" s="30"/>
      <c r="C240" s="30"/>
      <c r="D240" s="30"/>
      <c r="E240" s="30"/>
      <c r="F240" s="58"/>
      <c r="G240" s="19"/>
      <c r="H240" s="30"/>
      <c r="I240" s="30"/>
      <c r="J240" s="58"/>
      <c r="K240" s="30" t="str">
        <f aca="false">IF($F240="","",IF(AND($F240&gt;=集計!$B$1,$F240&lt;=集計!$B$2),1,0))</f>
        <v/>
      </c>
      <c r="L240" s="19"/>
    </row>
    <row r="241" customFormat="false" ht="15" hidden="false" customHeight="true" outlineLevel="0" collapsed="false">
      <c r="A241" s="30" t="n">
        <v>240</v>
      </c>
      <c r="B241" s="30"/>
      <c r="C241" s="30"/>
      <c r="D241" s="30"/>
      <c r="E241" s="30"/>
      <c r="F241" s="58"/>
      <c r="G241" s="19"/>
      <c r="H241" s="30"/>
      <c r="I241" s="30"/>
      <c r="J241" s="58"/>
      <c r="K241" s="30" t="str">
        <f aca="false">IF($F241="","",IF(AND($F241&gt;=集計!$B$1,$F241&lt;=集計!$B$2),1,0))</f>
        <v/>
      </c>
      <c r="L241" s="19"/>
    </row>
    <row r="242" customFormat="false" ht="15" hidden="false" customHeight="true" outlineLevel="0" collapsed="false">
      <c r="A242" s="30" t="n">
        <v>241</v>
      </c>
      <c r="B242" s="30"/>
      <c r="C242" s="30"/>
      <c r="D242" s="30"/>
      <c r="E242" s="30"/>
      <c r="F242" s="58"/>
      <c r="G242" s="19"/>
      <c r="H242" s="30"/>
      <c r="I242" s="30"/>
      <c r="J242" s="58"/>
      <c r="K242" s="30" t="str">
        <f aca="false">IF($F242="","",IF(AND($F242&gt;=集計!$B$1,$F242&lt;=集計!$B$2),1,0))</f>
        <v/>
      </c>
      <c r="L242" s="19"/>
    </row>
    <row r="243" customFormat="false" ht="15" hidden="false" customHeight="true" outlineLevel="0" collapsed="false">
      <c r="A243" s="30" t="n">
        <v>242</v>
      </c>
      <c r="B243" s="30"/>
      <c r="C243" s="30"/>
      <c r="D243" s="30"/>
      <c r="E243" s="30"/>
      <c r="F243" s="58"/>
      <c r="G243" s="19"/>
      <c r="H243" s="30"/>
      <c r="I243" s="30"/>
      <c r="J243" s="58"/>
      <c r="K243" s="30" t="str">
        <f aca="false">IF($F243="","",IF(AND($F243&gt;=集計!$B$1,$F243&lt;=集計!$B$2),1,0))</f>
        <v/>
      </c>
      <c r="L243" s="19"/>
    </row>
    <row r="244" customFormat="false" ht="15" hidden="false" customHeight="true" outlineLevel="0" collapsed="false">
      <c r="A244" s="30" t="n">
        <v>243</v>
      </c>
      <c r="B244" s="30"/>
      <c r="C244" s="30"/>
      <c r="D244" s="30"/>
      <c r="E244" s="30"/>
      <c r="F244" s="58"/>
      <c r="G244" s="19"/>
      <c r="H244" s="30"/>
      <c r="I244" s="30"/>
      <c r="J244" s="58"/>
      <c r="K244" s="30" t="str">
        <f aca="false">IF($F244="","",IF(AND($F244&gt;=集計!$B$1,$F244&lt;=集計!$B$2),1,0))</f>
        <v/>
      </c>
      <c r="L244" s="19"/>
    </row>
    <row r="245" customFormat="false" ht="15" hidden="false" customHeight="true" outlineLevel="0" collapsed="false">
      <c r="A245" s="30" t="n">
        <v>244</v>
      </c>
      <c r="B245" s="30"/>
      <c r="C245" s="30"/>
      <c r="D245" s="30"/>
      <c r="E245" s="30"/>
      <c r="F245" s="58"/>
      <c r="G245" s="19"/>
      <c r="H245" s="30"/>
      <c r="I245" s="30"/>
      <c r="J245" s="58"/>
      <c r="K245" s="30" t="str">
        <f aca="false">IF($F245="","",IF(AND($F245&gt;=集計!$B$1,$F245&lt;=集計!$B$2),1,0))</f>
        <v/>
      </c>
      <c r="L245" s="19"/>
    </row>
    <row r="246" customFormat="false" ht="15" hidden="false" customHeight="true" outlineLevel="0" collapsed="false">
      <c r="A246" s="30" t="n">
        <v>245</v>
      </c>
      <c r="B246" s="30"/>
      <c r="C246" s="30"/>
      <c r="D246" s="30"/>
      <c r="E246" s="30"/>
      <c r="F246" s="58"/>
      <c r="G246" s="19"/>
      <c r="H246" s="30"/>
      <c r="I246" s="30"/>
      <c r="J246" s="58"/>
      <c r="K246" s="30" t="str">
        <f aca="false">IF($F246="","",IF(AND($F246&gt;=集計!$B$1,$F246&lt;=集計!$B$2),1,0))</f>
        <v/>
      </c>
      <c r="L246" s="19"/>
    </row>
    <row r="247" customFormat="false" ht="15" hidden="false" customHeight="true" outlineLevel="0" collapsed="false">
      <c r="A247" s="30" t="n">
        <v>246</v>
      </c>
      <c r="B247" s="30"/>
      <c r="C247" s="30"/>
      <c r="D247" s="30"/>
      <c r="E247" s="30"/>
      <c r="F247" s="58"/>
      <c r="G247" s="19"/>
      <c r="H247" s="30"/>
      <c r="I247" s="30"/>
      <c r="J247" s="58"/>
      <c r="K247" s="30" t="str">
        <f aca="false">IF($F247="","",IF(AND($F247&gt;=集計!$B$1,$F247&lt;=集計!$B$2),1,0))</f>
        <v/>
      </c>
      <c r="L247" s="19"/>
    </row>
    <row r="248" customFormat="false" ht="15" hidden="false" customHeight="true" outlineLevel="0" collapsed="false">
      <c r="A248" s="30" t="n">
        <v>247</v>
      </c>
      <c r="B248" s="30"/>
      <c r="C248" s="30"/>
      <c r="D248" s="30"/>
      <c r="E248" s="30"/>
      <c r="F248" s="58"/>
      <c r="G248" s="19"/>
      <c r="H248" s="30"/>
      <c r="I248" s="30"/>
      <c r="J248" s="58"/>
      <c r="K248" s="30" t="str">
        <f aca="false">IF($F248="","",IF(AND($F248&gt;=集計!$B$1,$F248&lt;=集計!$B$2),1,0))</f>
        <v/>
      </c>
      <c r="L248" s="19"/>
    </row>
    <row r="249" customFormat="false" ht="15" hidden="false" customHeight="true" outlineLevel="0" collapsed="false">
      <c r="A249" s="30" t="n">
        <v>248</v>
      </c>
      <c r="B249" s="30"/>
      <c r="C249" s="30"/>
      <c r="D249" s="30"/>
      <c r="E249" s="30"/>
      <c r="F249" s="58"/>
      <c r="G249" s="19"/>
      <c r="H249" s="30"/>
      <c r="I249" s="30"/>
      <c r="J249" s="58"/>
      <c r="K249" s="30" t="str">
        <f aca="false">IF($F249="","",IF(AND($F249&gt;=集計!$B$1,$F249&lt;=集計!$B$2),1,0))</f>
        <v/>
      </c>
      <c r="L249" s="19"/>
    </row>
    <row r="250" customFormat="false" ht="15" hidden="false" customHeight="true" outlineLevel="0" collapsed="false">
      <c r="A250" s="30" t="n">
        <v>249</v>
      </c>
      <c r="B250" s="30"/>
      <c r="C250" s="30"/>
      <c r="D250" s="30"/>
      <c r="E250" s="30"/>
      <c r="F250" s="58"/>
      <c r="G250" s="19"/>
      <c r="H250" s="30"/>
      <c r="I250" s="30"/>
      <c r="J250" s="58"/>
      <c r="K250" s="30" t="str">
        <f aca="false">IF($F250="","",IF(AND($F250&gt;=集計!$B$1,$F250&lt;=集計!$B$2),1,0))</f>
        <v/>
      </c>
      <c r="L250" s="19"/>
    </row>
    <row r="251" customFormat="false" ht="15" hidden="false" customHeight="true" outlineLevel="0" collapsed="false">
      <c r="A251" s="30" t="n">
        <v>250</v>
      </c>
      <c r="B251" s="30"/>
      <c r="C251" s="30"/>
      <c r="D251" s="30"/>
      <c r="E251" s="30"/>
      <c r="F251" s="58"/>
      <c r="G251" s="19"/>
      <c r="H251" s="30"/>
      <c r="I251" s="30"/>
      <c r="J251" s="58"/>
      <c r="K251" s="30" t="str">
        <f aca="false">IF($F251="","",IF(AND($F251&gt;=集計!$B$1,$F251&lt;=集計!$B$2),1,0))</f>
        <v/>
      </c>
      <c r="L251" s="19"/>
    </row>
    <row r="252" customFormat="false" ht="15" hidden="false" customHeight="true" outlineLevel="0" collapsed="false">
      <c r="A252" s="30" t="n">
        <v>251</v>
      </c>
      <c r="B252" s="30"/>
      <c r="C252" s="30"/>
      <c r="D252" s="30"/>
      <c r="E252" s="30"/>
      <c r="F252" s="58"/>
      <c r="G252" s="19"/>
      <c r="H252" s="30"/>
      <c r="I252" s="30"/>
      <c r="J252" s="58"/>
      <c r="K252" s="30" t="str">
        <f aca="false">IF($F252="","",IF(AND($F252&gt;=集計!$B$1,$F252&lt;=集計!$B$2),1,0))</f>
        <v/>
      </c>
      <c r="L252" s="19"/>
    </row>
    <row r="253" customFormat="false" ht="15" hidden="false" customHeight="true" outlineLevel="0" collapsed="false">
      <c r="A253" s="30" t="n">
        <v>252</v>
      </c>
      <c r="B253" s="30"/>
      <c r="C253" s="30"/>
      <c r="D253" s="30"/>
      <c r="E253" s="30"/>
      <c r="F253" s="58"/>
      <c r="G253" s="19"/>
      <c r="H253" s="30"/>
      <c r="I253" s="30"/>
      <c r="J253" s="58"/>
      <c r="K253" s="30" t="str">
        <f aca="false">IF($F253="","",IF(AND($F253&gt;=集計!$B$1,$F253&lt;=集計!$B$2),1,0))</f>
        <v/>
      </c>
      <c r="L253" s="19"/>
    </row>
    <row r="254" customFormat="false" ht="15" hidden="false" customHeight="true" outlineLevel="0" collapsed="false">
      <c r="A254" s="30" t="n">
        <v>253</v>
      </c>
      <c r="B254" s="30"/>
      <c r="C254" s="30"/>
      <c r="D254" s="30"/>
      <c r="E254" s="30"/>
      <c r="F254" s="58"/>
      <c r="G254" s="19"/>
      <c r="H254" s="30"/>
      <c r="I254" s="30"/>
      <c r="J254" s="58"/>
      <c r="K254" s="30" t="str">
        <f aca="false">IF($F254="","",IF(AND($F254&gt;=集計!$B$1,$F254&lt;=集計!$B$2),1,0))</f>
        <v/>
      </c>
      <c r="L254" s="19"/>
    </row>
    <row r="255" customFormat="false" ht="15" hidden="false" customHeight="true" outlineLevel="0" collapsed="false">
      <c r="A255" s="30" t="n">
        <v>254</v>
      </c>
      <c r="B255" s="30"/>
      <c r="C255" s="30"/>
      <c r="D255" s="30"/>
      <c r="E255" s="30"/>
      <c r="F255" s="58"/>
      <c r="G255" s="19"/>
      <c r="H255" s="30"/>
      <c r="I255" s="30"/>
      <c r="J255" s="58"/>
      <c r="K255" s="30" t="str">
        <f aca="false">IF($F255="","",IF(AND($F255&gt;=集計!$B$1,$F255&lt;=集計!$B$2),1,0))</f>
        <v/>
      </c>
      <c r="L255" s="19"/>
    </row>
    <row r="256" customFormat="false" ht="15" hidden="false" customHeight="true" outlineLevel="0" collapsed="false">
      <c r="A256" s="30" t="n">
        <v>255</v>
      </c>
      <c r="B256" s="30"/>
      <c r="C256" s="30"/>
      <c r="D256" s="30"/>
      <c r="E256" s="30"/>
      <c r="F256" s="58"/>
      <c r="G256" s="19"/>
      <c r="H256" s="30"/>
      <c r="I256" s="30"/>
      <c r="J256" s="58"/>
      <c r="K256" s="30" t="str">
        <f aca="false">IF($F256="","",IF(AND($F256&gt;=集計!$B$1,$F256&lt;=集計!$B$2),1,0))</f>
        <v/>
      </c>
      <c r="L256" s="19"/>
    </row>
    <row r="257" customFormat="false" ht="15" hidden="false" customHeight="true" outlineLevel="0" collapsed="false">
      <c r="A257" s="30" t="n">
        <v>256</v>
      </c>
      <c r="B257" s="30"/>
      <c r="C257" s="30"/>
      <c r="D257" s="30"/>
      <c r="E257" s="30"/>
      <c r="F257" s="58"/>
      <c r="G257" s="19"/>
      <c r="H257" s="30"/>
      <c r="I257" s="30"/>
      <c r="J257" s="58"/>
      <c r="K257" s="30" t="str">
        <f aca="false">IF($F257="","",IF(AND($F257&gt;=集計!$B$1,$F257&lt;=集計!$B$2),1,0))</f>
        <v/>
      </c>
      <c r="L257" s="19"/>
    </row>
    <row r="258" customFormat="false" ht="15" hidden="false" customHeight="true" outlineLevel="0" collapsed="false">
      <c r="A258" s="30" t="n">
        <v>257</v>
      </c>
      <c r="B258" s="30"/>
      <c r="C258" s="30"/>
      <c r="D258" s="30"/>
      <c r="E258" s="30"/>
      <c r="F258" s="58"/>
      <c r="G258" s="19"/>
      <c r="H258" s="30"/>
      <c r="I258" s="30"/>
      <c r="J258" s="58"/>
      <c r="K258" s="30" t="str">
        <f aca="false">IF($F258="","",IF(AND($F258&gt;=集計!$B$1,$F258&lt;=集計!$B$2),1,0))</f>
        <v/>
      </c>
      <c r="L258" s="19"/>
    </row>
    <row r="259" customFormat="false" ht="15" hidden="false" customHeight="true" outlineLevel="0" collapsed="false">
      <c r="A259" s="30" t="n">
        <v>258</v>
      </c>
      <c r="B259" s="30"/>
      <c r="C259" s="30"/>
      <c r="D259" s="30"/>
      <c r="E259" s="30"/>
      <c r="F259" s="58"/>
      <c r="G259" s="19"/>
      <c r="H259" s="30"/>
      <c r="I259" s="30"/>
      <c r="J259" s="58"/>
      <c r="K259" s="30" t="str">
        <f aca="false">IF($F259="","",IF(AND($F259&gt;=集計!$B$1,$F259&lt;=集計!$B$2),1,0))</f>
        <v/>
      </c>
      <c r="L259" s="19"/>
    </row>
    <row r="260" customFormat="false" ht="15" hidden="false" customHeight="true" outlineLevel="0" collapsed="false">
      <c r="A260" s="30" t="n">
        <v>259</v>
      </c>
      <c r="B260" s="30"/>
      <c r="C260" s="30"/>
      <c r="D260" s="30"/>
      <c r="E260" s="30"/>
      <c r="F260" s="58"/>
      <c r="G260" s="19"/>
      <c r="H260" s="30"/>
      <c r="I260" s="30"/>
      <c r="J260" s="58"/>
      <c r="K260" s="30" t="str">
        <f aca="false">IF($F260="","",IF(AND($F260&gt;=集計!$B$1,$F260&lt;=集計!$B$2),1,0))</f>
        <v/>
      </c>
      <c r="L260" s="19"/>
    </row>
    <row r="261" customFormat="false" ht="15" hidden="false" customHeight="true" outlineLevel="0" collapsed="false">
      <c r="A261" s="30" t="n">
        <v>260</v>
      </c>
      <c r="B261" s="30"/>
      <c r="C261" s="30"/>
      <c r="D261" s="30"/>
      <c r="E261" s="30"/>
      <c r="F261" s="58"/>
      <c r="G261" s="19"/>
      <c r="H261" s="30"/>
      <c r="I261" s="30"/>
      <c r="J261" s="58"/>
      <c r="K261" s="30" t="str">
        <f aca="false">IF($F261="","",IF(AND($F261&gt;=集計!$B$1,$F261&lt;=集計!$B$2),1,0))</f>
        <v/>
      </c>
      <c r="L261" s="19"/>
    </row>
    <row r="262" customFormat="false" ht="15" hidden="false" customHeight="true" outlineLevel="0" collapsed="false">
      <c r="A262" s="30" t="n">
        <v>261</v>
      </c>
      <c r="B262" s="30"/>
      <c r="C262" s="30"/>
      <c r="D262" s="30"/>
      <c r="E262" s="30"/>
      <c r="F262" s="58"/>
      <c r="G262" s="19"/>
      <c r="H262" s="30"/>
      <c r="I262" s="30"/>
      <c r="J262" s="58"/>
      <c r="K262" s="30" t="str">
        <f aca="false">IF($F262="","",IF(AND($F262&gt;=集計!$B$1,$F262&lt;=集計!$B$2),1,0))</f>
        <v/>
      </c>
      <c r="L262" s="19"/>
    </row>
    <row r="263" customFormat="false" ht="15" hidden="false" customHeight="true" outlineLevel="0" collapsed="false">
      <c r="A263" s="30" t="n">
        <v>262</v>
      </c>
      <c r="B263" s="30"/>
      <c r="C263" s="30"/>
      <c r="D263" s="30"/>
      <c r="E263" s="30"/>
      <c r="F263" s="58"/>
      <c r="G263" s="19"/>
      <c r="H263" s="30"/>
      <c r="I263" s="30"/>
      <c r="J263" s="58"/>
      <c r="K263" s="30" t="str">
        <f aca="false">IF($F263="","",IF(AND($F263&gt;=集計!$B$1,$F263&lt;=集計!$B$2),1,0))</f>
        <v/>
      </c>
      <c r="L263" s="19"/>
    </row>
    <row r="264" customFormat="false" ht="15" hidden="false" customHeight="true" outlineLevel="0" collapsed="false">
      <c r="A264" s="30" t="n">
        <v>263</v>
      </c>
      <c r="B264" s="30"/>
      <c r="C264" s="30"/>
      <c r="D264" s="30"/>
      <c r="E264" s="30"/>
      <c r="F264" s="58"/>
      <c r="G264" s="19"/>
      <c r="H264" s="30"/>
      <c r="I264" s="30"/>
      <c r="J264" s="58"/>
      <c r="K264" s="30" t="str">
        <f aca="false">IF($F264="","",IF(AND($F264&gt;=集計!$B$1,$F264&lt;=集計!$B$2),1,0))</f>
        <v/>
      </c>
      <c r="L264" s="19"/>
    </row>
    <row r="265" customFormat="false" ht="15" hidden="false" customHeight="true" outlineLevel="0" collapsed="false">
      <c r="A265" s="30" t="n">
        <v>264</v>
      </c>
      <c r="B265" s="30"/>
      <c r="C265" s="30"/>
      <c r="D265" s="30"/>
      <c r="E265" s="30"/>
      <c r="F265" s="58"/>
      <c r="G265" s="19"/>
      <c r="H265" s="30"/>
      <c r="I265" s="30"/>
      <c r="J265" s="58"/>
      <c r="K265" s="30" t="str">
        <f aca="false">IF($F265="","",IF(AND($F265&gt;=集計!$B$1,$F265&lt;=集計!$B$2),1,0))</f>
        <v/>
      </c>
      <c r="L265" s="19"/>
    </row>
    <row r="266" customFormat="false" ht="15" hidden="false" customHeight="true" outlineLevel="0" collapsed="false">
      <c r="A266" s="30" t="n">
        <v>265</v>
      </c>
      <c r="B266" s="30"/>
      <c r="C266" s="30"/>
      <c r="D266" s="30"/>
      <c r="E266" s="30"/>
      <c r="F266" s="58"/>
      <c r="G266" s="19"/>
      <c r="H266" s="30"/>
      <c r="I266" s="30"/>
      <c r="J266" s="58"/>
      <c r="K266" s="30" t="str">
        <f aca="false">IF($F266="","",IF(AND($F266&gt;=集計!$B$1,$F266&lt;=集計!$B$2),1,0))</f>
        <v/>
      </c>
      <c r="L266" s="19"/>
    </row>
    <row r="267" customFormat="false" ht="15" hidden="false" customHeight="true" outlineLevel="0" collapsed="false">
      <c r="A267" s="30" t="n">
        <v>266</v>
      </c>
      <c r="B267" s="30"/>
      <c r="C267" s="30"/>
      <c r="D267" s="30"/>
      <c r="E267" s="30"/>
      <c r="F267" s="58"/>
      <c r="G267" s="19"/>
      <c r="H267" s="30"/>
      <c r="I267" s="30"/>
      <c r="J267" s="58"/>
      <c r="K267" s="30" t="str">
        <f aca="false">IF($F267="","",IF(AND($F267&gt;=集計!$B$1,$F267&lt;=集計!$B$2),1,0))</f>
        <v/>
      </c>
      <c r="L267" s="19"/>
    </row>
    <row r="268" customFormat="false" ht="15" hidden="false" customHeight="true" outlineLevel="0" collapsed="false">
      <c r="A268" s="30" t="n">
        <v>267</v>
      </c>
      <c r="B268" s="30"/>
      <c r="C268" s="30"/>
      <c r="D268" s="30"/>
      <c r="E268" s="30"/>
      <c r="F268" s="58"/>
      <c r="G268" s="19"/>
      <c r="H268" s="30"/>
      <c r="I268" s="30"/>
      <c r="J268" s="58"/>
      <c r="K268" s="30" t="str">
        <f aca="false">IF($F268="","",IF(AND($F268&gt;=集計!$B$1,$F268&lt;=集計!$B$2),1,0))</f>
        <v/>
      </c>
      <c r="L268" s="19"/>
    </row>
    <row r="269" customFormat="false" ht="15" hidden="false" customHeight="true" outlineLevel="0" collapsed="false">
      <c r="A269" s="30" t="n">
        <v>268</v>
      </c>
      <c r="B269" s="30"/>
      <c r="C269" s="30"/>
      <c r="D269" s="30"/>
      <c r="E269" s="30"/>
      <c r="F269" s="58"/>
      <c r="G269" s="19"/>
      <c r="H269" s="30"/>
      <c r="I269" s="30"/>
      <c r="J269" s="58"/>
      <c r="K269" s="30" t="str">
        <f aca="false">IF($F269="","",IF(AND($F269&gt;=集計!$B$1,$F269&lt;=集計!$B$2),1,0))</f>
        <v/>
      </c>
      <c r="L269" s="19"/>
    </row>
    <row r="270" customFormat="false" ht="15" hidden="false" customHeight="true" outlineLevel="0" collapsed="false">
      <c r="A270" s="30" t="n">
        <v>269</v>
      </c>
      <c r="B270" s="30"/>
      <c r="C270" s="30"/>
      <c r="D270" s="30"/>
      <c r="E270" s="30"/>
      <c r="F270" s="58"/>
      <c r="G270" s="19"/>
      <c r="H270" s="30"/>
      <c r="I270" s="30"/>
      <c r="J270" s="58"/>
      <c r="K270" s="30" t="str">
        <f aca="false">IF($F270="","",IF(AND($F270&gt;=集計!$B$1,$F270&lt;=集計!$B$2),1,0))</f>
        <v/>
      </c>
      <c r="L270" s="19"/>
    </row>
    <row r="271" customFormat="false" ht="15" hidden="false" customHeight="true" outlineLevel="0" collapsed="false">
      <c r="A271" s="30" t="n">
        <v>270</v>
      </c>
      <c r="B271" s="30"/>
      <c r="C271" s="30"/>
      <c r="D271" s="30"/>
      <c r="E271" s="30"/>
      <c r="F271" s="58"/>
      <c r="G271" s="19"/>
      <c r="H271" s="30"/>
      <c r="I271" s="30"/>
      <c r="J271" s="58"/>
      <c r="K271" s="30" t="str">
        <f aca="false">IF($F271="","",IF(AND($F271&gt;=集計!$B$1,$F271&lt;=集計!$B$2),1,0))</f>
        <v/>
      </c>
      <c r="L271" s="19"/>
    </row>
    <row r="272" customFormat="false" ht="15" hidden="false" customHeight="true" outlineLevel="0" collapsed="false">
      <c r="A272" s="30" t="n">
        <v>271</v>
      </c>
      <c r="B272" s="30"/>
      <c r="C272" s="30"/>
      <c r="D272" s="30"/>
      <c r="E272" s="30"/>
      <c r="F272" s="58"/>
      <c r="G272" s="19"/>
      <c r="H272" s="30"/>
      <c r="I272" s="30"/>
      <c r="J272" s="58"/>
      <c r="K272" s="30" t="str">
        <f aca="false">IF($F272="","",IF(AND($F272&gt;=集計!$B$1,$F272&lt;=集計!$B$2),1,0))</f>
        <v/>
      </c>
      <c r="L272" s="19"/>
    </row>
    <row r="273" customFormat="false" ht="15" hidden="false" customHeight="true" outlineLevel="0" collapsed="false">
      <c r="A273" s="30" t="n">
        <v>272</v>
      </c>
      <c r="B273" s="30"/>
      <c r="C273" s="30"/>
      <c r="D273" s="30"/>
      <c r="E273" s="30"/>
      <c r="F273" s="58"/>
      <c r="G273" s="19"/>
      <c r="H273" s="30"/>
      <c r="I273" s="30"/>
      <c r="J273" s="58"/>
      <c r="K273" s="30" t="str">
        <f aca="false">IF($F273="","",IF(AND($F273&gt;=集計!$B$1,$F273&lt;=集計!$B$2),1,0))</f>
        <v/>
      </c>
      <c r="L273" s="19"/>
    </row>
    <row r="274" customFormat="false" ht="15" hidden="false" customHeight="true" outlineLevel="0" collapsed="false">
      <c r="A274" s="30" t="n">
        <v>273</v>
      </c>
      <c r="B274" s="30"/>
      <c r="C274" s="30"/>
      <c r="D274" s="30"/>
      <c r="E274" s="30"/>
      <c r="F274" s="58"/>
      <c r="G274" s="19"/>
      <c r="H274" s="30"/>
      <c r="I274" s="30"/>
      <c r="J274" s="58"/>
      <c r="K274" s="30" t="str">
        <f aca="false">IF($F274="","",IF(AND($F274&gt;=集計!$B$1,$F274&lt;=集計!$B$2),1,0))</f>
        <v/>
      </c>
      <c r="L274" s="19"/>
    </row>
    <row r="275" customFormat="false" ht="15" hidden="false" customHeight="true" outlineLevel="0" collapsed="false">
      <c r="A275" s="30" t="n">
        <v>274</v>
      </c>
      <c r="B275" s="30"/>
      <c r="C275" s="30"/>
      <c r="D275" s="30"/>
      <c r="E275" s="30"/>
      <c r="F275" s="58"/>
      <c r="G275" s="19"/>
      <c r="H275" s="30"/>
      <c r="I275" s="30"/>
      <c r="J275" s="58"/>
      <c r="K275" s="30" t="str">
        <f aca="false">IF($F275="","",IF(AND($F275&gt;=集計!$B$1,$F275&lt;=集計!$B$2),1,0))</f>
        <v/>
      </c>
      <c r="L275" s="19"/>
    </row>
    <row r="276" customFormat="false" ht="15" hidden="false" customHeight="true" outlineLevel="0" collapsed="false">
      <c r="A276" s="30" t="n">
        <v>275</v>
      </c>
      <c r="B276" s="30"/>
      <c r="C276" s="30"/>
      <c r="D276" s="30"/>
      <c r="E276" s="30"/>
      <c r="F276" s="58"/>
      <c r="G276" s="19"/>
      <c r="H276" s="30"/>
      <c r="I276" s="30"/>
      <c r="J276" s="58"/>
      <c r="K276" s="30" t="str">
        <f aca="false">IF($F276="","",IF(AND($F276&gt;=集計!$B$1,$F276&lt;=集計!$B$2),1,0))</f>
        <v/>
      </c>
      <c r="L276" s="19"/>
    </row>
    <row r="277" customFormat="false" ht="15" hidden="false" customHeight="true" outlineLevel="0" collapsed="false">
      <c r="A277" s="30" t="n">
        <v>276</v>
      </c>
      <c r="B277" s="30"/>
      <c r="C277" s="30"/>
      <c r="D277" s="30"/>
      <c r="E277" s="30"/>
      <c r="F277" s="58"/>
      <c r="G277" s="19"/>
      <c r="H277" s="30"/>
      <c r="I277" s="30"/>
      <c r="J277" s="58"/>
      <c r="K277" s="30" t="str">
        <f aca="false">IF($F277="","",IF(AND($F277&gt;=集計!$B$1,$F277&lt;=集計!$B$2),1,0))</f>
        <v/>
      </c>
      <c r="L277" s="19"/>
    </row>
    <row r="278" customFormat="false" ht="15" hidden="false" customHeight="true" outlineLevel="0" collapsed="false">
      <c r="A278" s="30" t="n">
        <v>277</v>
      </c>
      <c r="B278" s="30"/>
      <c r="C278" s="30"/>
      <c r="D278" s="30"/>
      <c r="E278" s="30"/>
      <c r="F278" s="58"/>
      <c r="G278" s="19"/>
      <c r="H278" s="30"/>
      <c r="I278" s="30"/>
      <c r="J278" s="58"/>
      <c r="K278" s="30" t="str">
        <f aca="false">IF($F278="","",IF(AND($F278&gt;=集計!$B$1,$F278&lt;=集計!$B$2),1,0))</f>
        <v/>
      </c>
      <c r="L278" s="19"/>
    </row>
    <row r="279" customFormat="false" ht="15" hidden="false" customHeight="true" outlineLevel="0" collapsed="false">
      <c r="A279" s="30" t="n">
        <v>278</v>
      </c>
      <c r="B279" s="30"/>
      <c r="C279" s="30"/>
      <c r="D279" s="30"/>
      <c r="E279" s="30"/>
      <c r="F279" s="58"/>
      <c r="G279" s="19"/>
      <c r="H279" s="30"/>
      <c r="I279" s="30"/>
      <c r="J279" s="58"/>
      <c r="K279" s="30" t="str">
        <f aca="false">IF($F279="","",IF(AND($F279&gt;=集計!$B$1,$F279&lt;=集計!$B$2),1,0))</f>
        <v/>
      </c>
      <c r="L279" s="19"/>
    </row>
    <row r="280" customFormat="false" ht="15" hidden="false" customHeight="true" outlineLevel="0" collapsed="false">
      <c r="A280" s="30" t="n">
        <v>279</v>
      </c>
      <c r="B280" s="30"/>
      <c r="C280" s="30"/>
      <c r="D280" s="30"/>
      <c r="E280" s="30"/>
      <c r="F280" s="58"/>
      <c r="G280" s="19"/>
      <c r="H280" s="30"/>
      <c r="I280" s="30"/>
      <c r="J280" s="58"/>
      <c r="K280" s="30" t="str">
        <f aca="false">IF($F280="","",IF(AND($F280&gt;=集計!$B$1,$F280&lt;=集計!$B$2),1,0))</f>
        <v/>
      </c>
      <c r="L280" s="19"/>
    </row>
    <row r="281" customFormat="false" ht="15" hidden="false" customHeight="true" outlineLevel="0" collapsed="false">
      <c r="A281" s="30" t="n">
        <v>280</v>
      </c>
      <c r="B281" s="30"/>
      <c r="C281" s="30"/>
      <c r="D281" s="30"/>
      <c r="E281" s="30"/>
      <c r="F281" s="58"/>
      <c r="G281" s="19"/>
      <c r="H281" s="30"/>
      <c r="I281" s="30"/>
      <c r="J281" s="58"/>
      <c r="K281" s="30" t="str">
        <f aca="false">IF($F281="","",IF(AND($F281&gt;=集計!$B$1,$F281&lt;=集計!$B$2),1,0))</f>
        <v/>
      </c>
      <c r="L281" s="19"/>
    </row>
    <row r="282" customFormat="false" ht="15" hidden="false" customHeight="true" outlineLevel="0" collapsed="false">
      <c r="A282" s="30" t="n">
        <v>281</v>
      </c>
      <c r="B282" s="30"/>
      <c r="C282" s="30"/>
      <c r="D282" s="30"/>
      <c r="E282" s="30"/>
      <c r="F282" s="58"/>
      <c r="G282" s="19"/>
      <c r="H282" s="30"/>
      <c r="I282" s="30"/>
      <c r="J282" s="58"/>
      <c r="K282" s="30" t="str">
        <f aca="false">IF($F282="","",IF(AND($F282&gt;=集計!$B$1,$F282&lt;=集計!$B$2),1,0))</f>
        <v/>
      </c>
      <c r="L282" s="19"/>
    </row>
    <row r="283" customFormat="false" ht="15" hidden="false" customHeight="true" outlineLevel="0" collapsed="false">
      <c r="A283" s="30" t="n">
        <v>282</v>
      </c>
      <c r="B283" s="30"/>
      <c r="C283" s="30"/>
      <c r="D283" s="30"/>
      <c r="E283" s="30"/>
      <c r="F283" s="58"/>
      <c r="G283" s="19"/>
      <c r="H283" s="30"/>
      <c r="I283" s="30"/>
      <c r="J283" s="58"/>
      <c r="K283" s="30" t="str">
        <f aca="false">IF($F283="","",IF(AND($F283&gt;=集計!$B$1,$F283&lt;=集計!$B$2),1,0))</f>
        <v/>
      </c>
      <c r="L283" s="19"/>
    </row>
    <row r="284" customFormat="false" ht="15" hidden="false" customHeight="true" outlineLevel="0" collapsed="false">
      <c r="A284" s="30" t="n">
        <v>283</v>
      </c>
      <c r="B284" s="30"/>
      <c r="C284" s="30"/>
      <c r="D284" s="30"/>
      <c r="E284" s="30"/>
      <c r="F284" s="58"/>
      <c r="G284" s="19"/>
      <c r="H284" s="30"/>
      <c r="I284" s="30"/>
      <c r="J284" s="58"/>
      <c r="K284" s="30" t="str">
        <f aca="false">IF($F284="","",IF(AND($F284&gt;=集計!$B$1,$F284&lt;=集計!$B$2),1,0))</f>
        <v/>
      </c>
      <c r="L284" s="19"/>
    </row>
    <row r="285" customFormat="false" ht="15" hidden="false" customHeight="true" outlineLevel="0" collapsed="false">
      <c r="A285" s="30" t="n">
        <v>284</v>
      </c>
      <c r="B285" s="30"/>
      <c r="C285" s="30"/>
      <c r="D285" s="30"/>
      <c r="E285" s="30"/>
      <c r="F285" s="58"/>
      <c r="G285" s="19"/>
      <c r="H285" s="30"/>
      <c r="I285" s="30"/>
      <c r="J285" s="58"/>
      <c r="K285" s="30" t="str">
        <f aca="false">IF($F285="","",IF(AND($F285&gt;=集計!$B$1,$F285&lt;=集計!$B$2),1,0))</f>
        <v/>
      </c>
      <c r="L285" s="19"/>
    </row>
    <row r="286" customFormat="false" ht="15" hidden="false" customHeight="true" outlineLevel="0" collapsed="false">
      <c r="A286" s="30" t="n">
        <v>285</v>
      </c>
      <c r="B286" s="30"/>
      <c r="C286" s="30"/>
      <c r="D286" s="30"/>
      <c r="E286" s="30"/>
      <c r="F286" s="58"/>
      <c r="G286" s="19"/>
      <c r="H286" s="30"/>
      <c r="I286" s="30"/>
      <c r="J286" s="58"/>
      <c r="K286" s="30" t="str">
        <f aca="false">IF($F286="","",IF(AND($F286&gt;=集計!$B$1,$F286&lt;=集計!$B$2),1,0))</f>
        <v/>
      </c>
      <c r="L286" s="19"/>
    </row>
    <row r="287" customFormat="false" ht="15" hidden="false" customHeight="true" outlineLevel="0" collapsed="false">
      <c r="A287" s="30" t="n">
        <v>286</v>
      </c>
      <c r="B287" s="30"/>
      <c r="C287" s="30"/>
      <c r="D287" s="30"/>
      <c r="E287" s="30"/>
      <c r="F287" s="58"/>
      <c r="G287" s="19"/>
      <c r="H287" s="30"/>
      <c r="I287" s="30"/>
      <c r="J287" s="58"/>
      <c r="K287" s="30" t="str">
        <f aca="false">IF($F287="","",IF(AND($F287&gt;=集計!$B$1,$F287&lt;=集計!$B$2),1,0))</f>
        <v/>
      </c>
      <c r="L287" s="19"/>
    </row>
    <row r="288" customFormat="false" ht="15" hidden="false" customHeight="true" outlineLevel="0" collapsed="false">
      <c r="A288" s="30" t="n">
        <v>287</v>
      </c>
      <c r="B288" s="30"/>
      <c r="C288" s="30"/>
      <c r="D288" s="30"/>
      <c r="E288" s="30"/>
      <c r="F288" s="58"/>
      <c r="G288" s="19"/>
      <c r="H288" s="30"/>
      <c r="I288" s="30"/>
      <c r="J288" s="58"/>
      <c r="K288" s="30" t="str">
        <f aca="false">IF($F288="","",IF(AND($F288&gt;=集計!$B$1,$F288&lt;=集計!$B$2),1,0))</f>
        <v/>
      </c>
      <c r="L288" s="19"/>
    </row>
    <row r="289" customFormat="false" ht="15" hidden="false" customHeight="true" outlineLevel="0" collapsed="false">
      <c r="A289" s="30" t="n">
        <v>288</v>
      </c>
      <c r="B289" s="30"/>
      <c r="C289" s="30"/>
      <c r="D289" s="30"/>
      <c r="E289" s="30"/>
      <c r="F289" s="58"/>
      <c r="G289" s="19"/>
      <c r="H289" s="30"/>
      <c r="I289" s="30"/>
      <c r="J289" s="58"/>
      <c r="K289" s="30" t="str">
        <f aca="false">IF($F289="","",IF(AND($F289&gt;=集計!$B$1,$F289&lt;=集計!$B$2),1,0))</f>
        <v/>
      </c>
      <c r="L289" s="19"/>
    </row>
    <row r="290" customFormat="false" ht="15" hidden="false" customHeight="true" outlineLevel="0" collapsed="false">
      <c r="A290" s="30" t="n">
        <v>289</v>
      </c>
      <c r="B290" s="30"/>
      <c r="C290" s="30"/>
      <c r="D290" s="30"/>
      <c r="E290" s="30"/>
      <c r="F290" s="58"/>
      <c r="G290" s="19"/>
      <c r="H290" s="30"/>
      <c r="I290" s="30"/>
      <c r="J290" s="58"/>
      <c r="K290" s="30" t="str">
        <f aca="false">IF($F290="","",IF(AND($F290&gt;=集計!$B$1,$F290&lt;=集計!$B$2),1,0))</f>
        <v/>
      </c>
      <c r="L290" s="19"/>
    </row>
    <row r="291" customFormat="false" ht="15" hidden="false" customHeight="true" outlineLevel="0" collapsed="false">
      <c r="A291" s="30" t="n">
        <v>290</v>
      </c>
      <c r="B291" s="30"/>
      <c r="C291" s="30"/>
      <c r="D291" s="30"/>
      <c r="E291" s="30"/>
      <c r="F291" s="58"/>
      <c r="G291" s="19"/>
      <c r="H291" s="30"/>
      <c r="I291" s="30"/>
      <c r="J291" s="58"/>
      <c r="K291" s="30" t="str">
        <f aca="false">IF($F291="","",IF(AND($F291&gt;=集計!$B$1,$F291&lt;=集計!$B$2),1,0))</f>
        <v/>
      </c>
      <c r="L291" s="19"/>
    </row>
    <row r="292" customFormat="false" ht="15" hidden="false" customHeight="true" outlineLevel="0" collapsed="false">
      <c r="A292" s="30" t="n">
        <v>291</v>
      </c>
      <c r="B292" s="30"/>
      <c r="C292" s="30"/>
      <c r="D292" s="30"/>
      <c r="E292" s="30"/>
      <c r="F292" s="58"/>
      <c r="G292" s="19"/>
      <c r="H292" s="30"/>
      <c r="I292" s="30"/>
      <c r="J292" s="58"/>
      <c r="K292" s="30" t="str">
        <f aca="false">IF($F292="","",IF(AND($F292&gt;=集計!$B$1,$F292&lt;=集計!$B$2),1,0))</f>
        <v/>
      </c>
      <c r="L292" s="19"/>
    </row>
    <row r="293" customFormat="false" ht="15" hidden="false" customHeight="true" outlineLevel="0" collapsed="false">
      <c r="A293" s="30" t="n">
        <v>292</v>
      </c>
      <c r="B293" s="30"/>
      <c r="C293" s="30"/>
      <c r="D293" s="30"/>
      <c r="E293" s="30"/>
      <c r="F293" s="58"/>
      <c r="G293" s="19"/>
      <c r="H293" s="30"/>
      <c r="I293" s="30"/>
      <c r="J293" s="58"/>
      <c r="K293" s="30" t="str">
        <f aca="false">IF($F293="","",IF(AND($F293&gt;=集計!$B$1,$F293&lt;=集計!$B$2),1,0))</f>
        <v/>
      </c>
      <c r="L293" s="19"/>
    </row>
    <row r="294" customFormat="false" ht="15" hidden="false" customHeight="true" outlineLevel="0" collapsed="false">
      <c r="A294" s="30" t="n">
        <v>293</v>
      </c>
      <c r="B294" s="30"/>
      <c r="C294" s="30"/>
      <c r="D294" s="30"/>
      <c r="E294" s="30"/>
      <c r="F294" s="58"/>
      <c r="G294" s="19"/>
      <c r="H294" s="30"/>
      <c r="I294" s="30"/>
      <c r="J294" s="58"/>
      <c r="K294" s="30" t="str">
        <f aca="false">IF($F294="","",IF(AND($F294&gt;=集計!$B$1,$F294&lt;=集計!$B$2),1,0))</f>
        <v/>
      </c>
      <c r="L294" s="19"/>
    </row>
    <row r="295" customFormat="false" ht="15" hidden="false" customHeight="true" outlineLevel="0" collapsed="false">
      <c r="A295" s="30" t="n">
        <v>294</v>
      </c>
      <c r="B295" s="30"/>
      <c r="C295" s="30"/>
      <c r="D295" s="30"/>
      <c r="E295" s="30"/>
      <c r="F295" s="58"/>
      <c r="G295" s="19"/>
      <c r="H295" s="30"/>
      <c r="I295" s="30"/>
      <c r="J295" s="58"/>
      <c r="K295" s="30" t="str">
        <f aca="false">IF($F295="","",IF(AND($F295&gt;=集計!$B$1,$F295&lt;=集計!$B$2),1,0))</f>
        <v/>
      </c>
      <c r="L295" s="19"/>
    </row>
    <row r="296" customFormat="false" ht="15" hidden="false" customHeight="true" outlineLevel="0" collapsed="false">
      <c r="A296" s="30" t="n">
        <v>295</v>
      </c>
      <c r="B296" s="30"/>
      <c r="C296" s="30"/>
      <c r="D296" s="30"/>
      <c r="E296" s="30"/>
      <c r="F296" s="58"/>
      <c r="G296" s="19"/>
      <c r="H296" s="30"/>
      <c r="I296" s="30"/>
      <c r="J296" s="58"/>
      <c r="K296" s="30" t="str">
        <f aca="false">IF($F296="","",IF(AND($F296&gt;=集計!$B$1,$F296&lt;=集計!$B$2),1,0))</f>
        <v/>
      </c>
      <c r="L296" s="19"/>
    </row>
    <row r="297" customFormat="false" ht="15" hidden="false" customHeight="true" outlineLevel="0" collapsed="false">
      <c r="A297" s="30" t="n">
        <v>296</v>
      </c>
      <c r="B297" s="30"/>
      <c r="C297" s="30"/>
      <c r="D297" s="30"/>
      <c r="E297" s="30"/>
      <c r="F297" s="58"/>
      <c r="G297" s="19"/>
      <c r="H297" s="30"/>
      <c r="I297" s="30"/>
      <c r="J297" s="58"/>
      <c r="K297" s="30" t="str">
        <f aca="false">IF($F297="","",IF(AND($F297&gt;=集計!$B$1,$F297&lt;=集計!$B$2),1,0))</f>
        <v/>
      </c>
      <c r="L297" s="19"/>
    </row>
    <row r="298" customFormat="false" ht="15" hidden="false" customHeight="true" outlineLevel="0" collapsed="false">
      <c r="A298" s="30" t="n">
        <v>297</v>
      </c>
      <c r="B298" s="30"/>
      <c r="C298" s="30"/>
      <c r="D298" s="30"/>
      <c r="E298" s="30"/>
      <c r="F298" s="58"/>
      <c r="G298" s="19"/>
      <c r="H298" s="30"/>
      <c r="I298" s="30"/>
      <c r="J298" s="58"/>
      <c r="K298" s="30" t="str">
        <f aca="false">IF($F298="","",IF(AND($F298&gt;=集計!$B$1,$F298&lt;=集計!$B$2),1,0))</f>
        <v/>
      </c>
      <c r="L298" s="19"/>
    </row>
    <row r="299" customFormat="false" ht="15" hidden="false" customHeight="true" outlineLevel="0" collapsed="false">
      <c r="A299" s="30" t="n">
        <v>298</v>
      </c>
      <c r="B299" s="30"/>
      <c r="C299" s="30"/>
      <c r="D299" s="30"/>
      <c r="E299" s="30"/>
      <c r="F299" s="58"/>
      <c r="G299" s="19"/>
      <c r="H299" s="30"/>
      <c r="I299" s="30"/>
      <c r="J299" s="58"/>
      <c r="K299" s="30" t="str">
        <f aca="false">IF($F299="","",IF(AND($F299&gt;=集計!$B$1,$F299&lt;=集計!$B$2),1,0))</f>
        <v/>
      </c>
      <c r="L299" s="19"/>
    </row>
    <row r="300" customFormat="false" ht="15" hidden="false" customHeight="true" outlineLevel="0" collapsed="false">
      <c r="A300" s="30" t="n">
        <v>299</v>
      </c>
      <c r="B300" s="30"/>
      <c r="C300" s="30"/>
      <c r="D300" s="30"/>
      <c r="E300" s="30"/>
      <c r="F300" s="58"/>
      <c r="G300" s="19"/>
      <c r="H300" s="30"/>
      <c r="I300" s="30"/>
      <c r="J300" s="58"/>
      <c r="K300" s="30" t="str">
        <f aca="false">IF($F300="","",IF(AND($F300&gt;=集計!$B$1,$F300&lt;=集計!$B$2),1,0))</f>
        <v/>
      </c>
      <c r="L300" s="19"/>
    </row>
    <row r="301" customFormat="false" ht="15" hidden="false" customHeight="true" outlineLevel="0" collapsed="false">
      <c r="A301" s="30" t="n">
        <v>300</v>
      </c>
      <c r="B301" s="30"/>
      <c r="C301" s="30"/>
      <c r="D301" s="30"/>
      <c r="E301" s="30"/>
      <c r="F301" s="58"/>
      <c r="G301" s="19"/>
      <c r="H301" s="30"/>
      <c r="I301" s="30"/>
      <c r="J301" s="58"/>
      <c r="K301" s="30" t="str">
        <f aca="false">IF($F301="","",IF(AND($F301&gt;=集計!$B$1,$F301&lt;=集計!$B$2),1,0))</f>
        <v/>
      </c>
      <c r="L301" s="19"/>
    </row>
  </sheetData>
  <dataValidations count="4">
    <dataValidation allowBlank="true" errorStyle="stop" operator="between" showDropDown="false" showErrorMessage="false" showInputMessage="false" sqref="B2:B301" type="list">
      <formula1>集計!$A$5:$A$51</formula1>
      <formula2>0</formula2>
    </dataValidation>
    <dataValidation allowBlank="true" errorStyle="stop" operator="between" showDropDown="false" showErrorMessage="false" showInputMessage="false" sqref="C2:C301" type="list">
      <formula1>"都道府県,政令市・特別区,労働局・ハローワーク,その他自治体,国（全国）,その他"</formula1>
      <formula2>0</formula2>
    </dataValidation>
    <dataValidation allowBlank="true" errorStyle="stop" operator="between" showDropDown="false" showErrorMessage="false" showInputMessage="false" sqref="E2:E301" type="list">
      <formula1>"狭義,広義"</formula1>
      <formula2>0</formula2>
    </dataValidation>
    <dataValidation allowBlank="true" errorStyle="stop" operator="between" showDropDown="false" showErrorMessage="false" showInputMessage="false" sqref="H2:H301" type="list">
      <formula1>"採用試験,相談・支援窓口,セミナー・説明会・イベント,リスキリング・職業訓練,交付金事業周知,その他"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2"/>
    <col collapsed="false" customWidth="true" hidden="false" outlineLevel="0" max="3" min="3" style="1" width="54"/>
  </cols>
  <sheetData>
    <row r="1" customFormat="false" ht="15" hidden="false" customHeight="true" outlineLevel="0" collapsed="false">
      <c r="A1" s="15" t="s">
        <v>55</v>
      </c>
      <c r="B1" s="15" t="s">
        <v>613</v>
      </c>
      <c r="C1" s="15" t="s">
        <v>614</v>
      </c>
    </row>
    <row r="2" customFormat="false" ht="29.25" hidden="false" customHeight="true" outlineLevel="0" collapsed="false">
      <c r="A2" s="65" t="s">
        <v>62</v>
      </c>
      <c r="B2" s="65" t="s">
        <v>615</v>
      </c>
      <c r="C2" s="65" t="s">
        <v>616</v>
      </c>
    </row>
    <row r="3" customFormat="false" ht="29.25" hidden="false" customHeight="true" outlineLevel="0" collapsed="false">
      <c r="A3" s="65" t="s">
        <v>67</v>
      </c>
      <c r="B3" s="65" t="s">
        <v>617</v>
      </c>
      <c r="C3" s="65" t="s">
        <v>618</v>
      </c>
    </row>
    <row r="4" customFormat="false" ht="29.25" hidden="false" customHeight="true" outlineLevel="0" collapsed="false">
      <c r="A4" s="65" t="s">
        <v>70</v>
      </c>
      <c r="B4" s="65" t="s">
        <v>619</v>
      </c>
      <c r="C4" s="65" t="s">
        <v>620</v>
      </c>
    </row>
    <row r="5" customFormat="false" ht="29.25" hidden="false" customHeight="true" outlineLevel="0" collapsed="false">
      <c r="A5" s="65" t="s">
        <v>73</v>
      </c>
      <c r="B5" s="65" t="s">
        <v>621</v>
      </c>
      <c r="C5" s="65" t="s">
        <v>622</v>
      </c>
    </row>
    <row r="6" customFormat="false" ht="29.25" hidden="false" customHeight="true" outlineLevel="0" collapsed="false">
      <c r="A6" s="65" t="s">
        <v>76</v>
      </c>
      <c r="B6" s="65" t="s">
        <v>623</v>
      </c>
      <c r="C6" s="65" t="s">
        <v>624</v>
      </c>
    </row>
    <row r="7" customFormat="false" ht="29.25" hidden="false" customHeight="true" outlineLevel="0" collapsed="false">
      <c r="A7" s="65" t="s">
        <v>79</v>
      </c>
      <c r="B7" s="65" t="s">
        <v>625</v>
      </c>
      <c r="C7" s="65" t="s">
        <v>626</v>
      </c>
    </row>
    <row r="8" customFormat="false" ht="29.25" hidden="false" customHeight="true" outlineLevel="0" collapsed="false">
      <c r="A8" s="65" t="s">
        <v>82</v>
      </c>
      <c r="B8" s="65" t="s">
        <v>627</v>
      </c>
      <c r="C8" s="65" t="s">
        <v>628</v>
      </c>
    </row>
    <row r="9" customFormat="false" ht="29.25" hidden="false" customHeight="true" outlineLevel="0" collapsed="false">
      <c r="A9" s="65" t="s">
        <v>85</v>
      </c>
      <c r="B9" s="65" t="s">
        <v>629</v>
      </c>
      <c r="C9" s="65" t="s">
        <v>630</v>
      </c>
    </row>
    <row r="10" customFormat="false" ht="29.25" hidden="false" customHeight="true" outlineLevel="0" collapsed="false">
      <c r="A10" s="65" t="s">
        <v>88</v>
      </c>
      <c r="B10" s="65" t="s">
        <v>631</v>
      </c>
      <c r="C10" s="65" t="s">
        <v>632</v>
      </c>
    </row>
    <row r="11" customFormat="false" ht="29.25" hidden="false" customHeight="true" outlineLevel="0" collapsed="false">
      <c r="A11" s="65" t="s">
        <v>91</v>
      </c>
      <c r="B11" s="65" t="s">
        <v>633</v>
      </c>
      <c r="C11" s="65" t="s">
        <v>634</v>
      </c>
    </row>
    <row r="12" customFormat="false" ht="29.25" hidden="false" customHeight="true" outlineLevel="0" collapsed="false">
      <c r="A12" s="65" t="s">
        <v>94</v>
      </c>
      <c r="B12" s="65" t="s">
        <v>635</v>
      </c>
      <c r="C12" s="65" t="s">
        <v>636</v>
      </c>
    </row>
    <row r="13" customFormat="false" ht="29.25" hidden="false" customHeight="true" outlineLevel="0" collapsed="false">
      <c r="A13" s="65" t="s">
        <v>97</v>
      </c>
      <c r="B13" s="65" t="s">
        <v>637</v>
      </c>
      <c r="C13" s="65" t="s">
        <v>638</v>
      </c>
    </row>
    <row r="14" customFormat="false" ht="29.25" hidden="false" customHeight="true" outlineLevel="0" collapsed="false">
      <c r="A14" s="65" t="s">
        <v>100</v>
      </c>
      <c r="B14" s="65" t="s">
        <v>639</v>
      </c>
      <c r="C14" s="65" t="s">
        <v>640</v>
      </c>
    </row>
    <row r="15" customFormat="false" ht="29.25" hidden="false" customHeight="true" outlineLevel="0" collapsed="false">
      <c r="A15" s="65" t="s">
        <v>103</v>
      </c>
      <c r="B15" s="65" t="s">
        <v>641</v>
      </c>
      <c r="C15" s="65" t="s">
        <v>642</v>
      </c>
    </row>
    <row r="16" customFormat="false" ht="29.25" hidden="false" customHeight="true" outlineLevel="0" collapsed="false">
      <c r="A16" s="65" t="s">
        <v>106</v>
      </c>
      <c r="B16" s="65" t="s">
        <v>643</v>
      </c>
      <c r="C16" s="65" t="s">
        <v>644</v>
      </c>
    </row>
    <row r="17" customFormat="false" ht="29.25" hidden="false" customHeight="true" outlineLevel="0" collapsed="false">
      <c r="A17" s="65" t="s">
        <v>109</v>
      </c>
      <c r="B17" s="65" t="s">
        <v>645</v>
      </c>
      <c r="C17" s="65" t="s">
        <v>646</v>
      </c>
    </row>
    <row r="18" customFormat="false" ht="29.25" hidden="false" customHeight="true" outlineLevel="0" collapsed="false">
      <c r="A18" s="65" t="s">
        <v>112</v>
      </c>
      <c r="B18" s="65" t="s">
        <v>647</v>
      </c>
      <c r="C18" s="65" t="s">
        <v>648</v>
      </c>
    </row>
    <row r="19" customFormat="false" ht="29.25" hidden="false" customHeight="true" outlineLevel="0" collapsed="false">
      <c r="A19" s="65" t="s">
        <v>115</v>
      </c>
      <c r="B19" s="65" t="s">
        <v>649</v>
      </c>
      <c r="C19" s="65" t="s">
        <v>650</v>
      </c>
    </row>
    <row r="20" customFormat="false" ht="29.25" hidden="false" customHeight="true" outlineLevel="0" collapsed="false">
      <c r="A20" s="65" t="s">
        <v>118</v>
      </c>
      <c r="B20" s="65" t="s">
        <v>651</v>
      </c>
      <c r="C20" s="65" t="s">
        <v>652</v>
      </c>
    </row>
    <row r="21" customFormat="false" ht="29.25" hidden="false" customHeight="true" outlineLevel="0" collapsed="false">
      <c r="A21" s="65" t="s">
        <v>121</v>
      </c>
      <c r="B21" s="65" t="s">
        <v>653</v>
      </c>
      <c r="C21" s="65" t="s">
        <v>654</v>
      </c>
    </row>
    <row r="22" customFormat="false" ht="29.25" hidden="false" customHeight="true" outlineLevel="0" collapsed="false">
      <c r="A22" s="65" t="s">
        <v>124</v>
      </c>
      <c r="B22" s="65" t="s">
        <v>655</v>
      </c>
      <c r="C22" s="65" t="s">
        <v>656</v>
      </c>
    </row>
    <row r="23" customFormat="false" ht="29.25" hidden="false" customHeight="true" outlineLevel="0" collapsed="false">
      <c r="A23" s="65" t="s">
        <v>127</v>
      </c>
      <c r="B23" s="65" t="s">
        <v>657</v>
      </c>
      <c r="C23" s="65" t="s">
        <v>658</v>
      </c>
    </row>
    <row r="24" customFormat="false" ht="29.25" hidden="false" customHeight="true" outlineLevel="0" collapsed="false">
      <c r="A24" s="65" t="s">
        <v>130</v>
      </c>
      <c r="B24" s="65" t="s">
        <v>659</v>
      </c>
      <c r="C24" s="65" t="s">
        <v>660</v>
      </c>
    </row>
    <row r="25" customFormat="false" ht="29.25" hidden="false" customHeight="true" outlineLevel="0" collapsed="false">
      <c r="A25" s="65" t="s">
        <v>133</v>
      </c>
      <c r="B25" s="65" t="s">
        <v>661</v>
      </c>
      <c r="C25" s="65" t="s">
        <v>662</v>
      </c>
    </row>
    <row r="26" customFormat="false" ht="29.25" hidden="false" customHeight="true" outlineLevel="0" collapsed="false">
      <c r="A26" s="65" t="s">
        <v>136</v>
      </c>
      <c r="B26" s="65" t="s">
        <v>663</v>
      </c>
      <c r="C26" s="65" t="s">
        <v>664</v>
      </c>
    </row>
    <row r="27" customFormat="false" ht="29.25" hidden="false" customHeight="true" outlineLevel="0" collapsed="false">
      <c r="A27" s="65" t="s">
        <v>139</v>
      </c>
      <c r="B27" s="65" t="s">
        <v>665</v>
      </c>
      <c r="C27" s="65" t="s">
        <v>666</v>
      </c>
    </row>
    <row r="28" customFormat="false" ht="29.25" hidden="false" customHeight="true" outlineLevel="0" collapsed="false">
      <c r="A28" s="65" t="s">
        <v>142</v>
      </c>
      <c r="B28" s="65" t="s">
        <v>667</v>
      </c>
      <c r="C28" s="65" t="s">
        <v>668</v>
      </c>
    </row>
    <row r="29" customFormat="false" ht="29.25" hidden="false" customHeight="true" outlineLevel="0" collapsed="false">
      <c r="A29" s="65" t="s">
        <v>145</v>
      </c>
      <c r="B29" s="65" t="s">
        <v>669</v>
      </c>
      <c r="C29" s="65" t="s">
        <v>670</v>
      </c>
    </row>
    <row r="30" customFormat="false" ht="29.25" hidden="false" customHeight="true" outlineLevel="0" collapsed="false">
      <c r="A30" s="65" t="s">
        <v>148</v>
      </c>
      <c r="B30" s="65" t="s">
        <v>671</v>
      </c>
      <c r="C30" s="65" t="s">
        <v>672</v>
      </c>
    </row>
    <row r="31" customFormat="false" ht="29.25" hidden="false" customHeight="true" outlineLevel="0" collapsed="false">
      <c r="A31" s="65" t="s">
        <v>151</v>
      </c>
      <c r="B31" s="65" t="s">
        <v>673</v>
      </c>
      <c r="C31" s="65" t="s">
        <v>674</v>
      </c>
    </row>
    <row r="32" customFormat="false" ht="29.25" hidden="false" customHeight="true" outlineLevel="0" collapsed="false">
      <c r="A32" s="65" t="s">
        <v>154</v>
      </c>
      <c r="B32" s="65" t="s">
        <v>675</v>
      </c>
      <c r="C32" s="65" t="s">
        <v>676</v>
      </c>
    </row>
    <row r="33" customFormat="false" ht="29.25" hidden="false" customHeight="true" outlineLevel="0" collapsed="false">
      <c r="A33" s="65" t="s">
        <v>157</v>
      </c>
      <c r="B33" s="65" t="s">
        <v>677</v>
      </c>
      <c r="C33" s="65" t="s">
        <v>678</v>
      </c>
    </row>
    <row r="34" customFormat="false" ht="29.25" hidden="false" customHeight="true" outlineLevel="0" collapsed="false">
      <c r="A34" s="65" t="s">
        <v>160</v>
      </c>
      <c r="B34" s="65" t="s">
        <v>679</v>
      </c>
      <c r="C34" s="65" t="s">
        <v>680</v>
      </c>
    </row>
    <row r="35" customFormat="false" ht="29.25" hidden="false" customHeight="true" outlineLevel="0" collapsed="false">
      <c r="A35" s="65" t="s">
        <v>163</v>
      </c>
      <c r="B35" s="65" t="s">
        <v>681</v>
      </c>
      <c r="C35" s="65" t="s">
        <v>682</v>
      </c>
    </row>
    <row r="36" customFormat="false" ht="29.25" hidden="false" customHeight="true" outlineLevel="0" collapsed="false">
      <c r="A36" s="65" t="s">
        <v>166</v>
      </c>
      <c r="B36" s="65" t="s">
        <v>683</v>
      </c>
      <c r="C36" s="65" t="s">
        <v>684</v>
      </c>
    </row>
    <row r="37" customFormat="false" ht="29.25" hidden="false" customHeight="true" outlineLevel="0" collapsed="false">
      <c r="A37" s="65" t="s">
        <v>169</v>
      </c>
      <c r="B37" s="65" t="s">
        <v>685</v>
      </c>
      <c r="C37" s="65" t="s">
        <v>686</v>
      </c>
    </row>
    <row r="38" customFormat="false" ht="29.25" hidden="false" customHeight="true" outlineLevel="0" collapsed="false">
      <c r="A38" s="65" t="s">
        <v>172</v>
      </c>
      <c r="B38" s="65" t="s">
        <v>687</v>
      </c>
      <c r="C38" s="65" t="s">
        <v>688</v>
      </c>
    </row>
    <row r="39" customFormat="false" ht="29.25" hidden="false" customHeight="true" outlineLevel="0" collapsed="false">
      <c r="A39" s="65" t="s">
        <v>175</v>
      </c>
      <c r="B39" s="65" t="s">
        <v>689</v>
      </c>
      <c r="C39" s="65" t="s">
        <v>690</v>
      </c>
    </row>
    <row r="40" customFormat="false" ht="29.25" hidden="false" customHeight="true" outlineLevel="0" collapsed="false">
      <c r="A40" s="65" t="s">
        <v>178</v>
      </c>
      <c r="B40" s="65" t="s">
        <v>691</v>
      </c>
      <c r="C40" s="65" t="s">
        <v>692</v>
      </c>
    </row>
    <row r="41" customFormat="false" ht="29.25" hidden="false" customHeight="true" outlineLevel="0" collapsed="false">
      <c r="A41" s="65" t="s">
        <v>181</v>
      </c>
      <c r="B41" s="65" t="s">
        <v>693</v>
      </c>
      <c r="C41" s="65" t="s">
        <v>694</v>
      </c>
    </row>
    <row r="42" customFormat="false" ht="29.25" hidden="false" customHeight="true" outlineLevel="0" collapsed="false">
      <c r="A42" s="65" t="s">
        <v>184</v>
      </c>
      <c r="B42" s="65" t="s">
        <v>695</v>
      </c>
      <c r="C42" s="65" t="s">
        <v>696</v>
      </c>
    </row>
    <row r="43" customFormat="false" ht="29.25" hidden="false" customHeight="true" outlineLevel="0" collapsed="false">
      <c r="A43" s="65" t="s">
        <v>187</v>
      </c>
      <c r="B43" s="65" t="s">
        <v>697</v>
      </c>
      <c r="C43" s="65" t="s">
        <v>698</v>
      </c>
    </row>
    <row r="44" customFormat="false" ht="29.25" hidden="false" customHeight="true" outlineLevel="0" collapsed="false">
      <c r="A44" s="65" t="s">
        <v>190</v>
      </c>
      <c r="B44" s="65" t="s">
        <v>699</v>
      </c>
      <c r="C44" s="65" t="s">
        <v>700</v>
      </c>
    </row>
    <row r="45" customFormat="false" ht="29.25" hidden="false" customHeight="true" outlineLevel="0" collapsed="false">
      <c r="A45" s="65" t="s">
        <v>193</v>
      </c>
      <c r="B45" s="65" t="s">
        <v>701</v>
      </c>
      <c r="C45" s="65" t="s">
        <v>702</v>
      </c>
    </row>
    <row r="46" customFormat="false" ht="29.25" hidden="false" customHeight="true" outlineLevel="0" collapsed="false">
      <c r="A46" s="65" t="s">
        <v>196</v>
      </c>
      <c r="B46" s="65" t="s">
        <v>703</v>
      </c>
      <c r="C46" s="65" t="s">
        <v>704</v>
      </c>
    </row>
    <row r="47" customFormat="false" ht="29.25" hidden="false" customHeight="true" outlineLevel="0" collapsed="false">
      <c r="A47" s="65" t="s">
        <v>199</v>
      </c>
      <c r="B47" s="65" t="s">
        <v>705</v>
      </c>
      <c r="C47" s="65" t="s">
        <v>706</v>
      </c>
    </row>
    <row r="48" customFormat="false" ht="29.25" hidden="false" customHeight="true" outlineLevel="0" collapsed="false">
      <c r="A48" s="65" t="s">
        <v>202</v>
      </c>
      <c r="B48" s="65" t="s">
        <v>707</v>
      </c>
      <c r="C48" s="65" t="s">
        <v>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28"/>
    <col collapsed="false" customWidth="true" hidden="false" outlineLevel="0" max="4" min="4" style="1" width="40"/>
  </cols>
  <sheetData>
    <row r="1" customFormat="false" ht="19.5" hidden="false" customHeight="true" outlineLevel="0" collapsed="false">
      <c r="A1" s="72" t="s">
        <v>709</v>
      </c>
    </row>
    <row r="3" customFormat="false" ht="32.25" hidden="false" customHeight="true" outlineLevel="0" collapsed="false">
      <c r="A3" s="50" t="s">
        <v>55</v>
      </c>
      <c r="B3" s="50" t="s">
        <v>710</v>
      </c>
      <c r="C3" s="50" t="s">
        <v>711</v>
      </c>
      <c r="D3" s="50" t="s">
        <v>61</v>
      </c>
    </row>
    <row r="4" customFormat="false" ht="15" hidden="false" customHeight="true" outlineLevel="0" collapsed="false">
      <c r="A4" s="73" t="s">
        <v>62</v>
      </c>
      <c r="B4" s="73" t="s">
        <v>712</v>
      </c>
      <c r="C4" s="73" t="s">
        <v>713</v>
      </c>
      <c r="D4" s="73" t="s">
        <v>714</v>
      </c>
    </row>
    <row r="5" customFormat="false" ht="15" hidden="false" customHeight="true" outlineLevel="0" collapsed="false">
      <c r="A5" s="73" t="s">
        <v>67</v>
      </c>
      <c r="B5" s="73" t="s">
        <v>712</v>
      </c>
      <c r="C5" s="73" t="s">
        <v>713</v>
      </c>
      <c r="D5" s="73" t="s">
        <v>714</v>
      </c>
    </row>
    <row r="6" customFormat="false" ht="15" hidden="false" customHeight="true" outlineLevel="0" collapsed="false">
      <c r="A6" s="73" t="s">
        <v>70</v>
      </c>
      <c r="B6" s="73" t="s">
        <v>712</v>
      </c>
      <c r="C6" s="73" t="s">
        <v>713</v>
      </c>
      <c r="D6" s="73" t="s">
        <v>714</v>
      </c>
    </row>
    <row r="7" customFormat="false" ht="15" hidden="false" customHeight="true" outlineLevel="0" collapsed="false">
      <c r="A7" s="73" t="s">
        <v>73</v>
      </c>
      <c r="B7" s="73" t="s">
        <v>712</v>
      </c>
      <c r="C7" s="73" t="s">
        <v>715</v>
      </c>
      <c r="D7" s="73" t="s">
        <v>714</v>
      </c>
    </row>
    <row r="8" customFormat="false" ht="15" hidden="false" customHeight="true" outlineLevel="0" collapsed="false">
      <c r="A8" s="73" t="s">
        <v>76</v>
      </c>
      <c r="B8" s="73" t="s">
        <v>712</v>
      </c>
      <c r="C8" s="73" t="s">
        <v>713</v>
      </c>
      <c r="D8" s="73" t="s">
        <v>714</v>
      </c>
    </row>
    <row r="9" customFormat="false" ht="15" hidden="false" customHeight="true" outlineLevel="0" collapsed="false">
      <c r="A9" s="73" t="s">
        <v>79</v>
      </c>
      <c r="B9" s="73" t="s">
        <v>712</v>
      </c>
      <c r="C9" s="73" t="s">
        <v>713</v>
      </c>
      <c r="D9" s="73" t="s">
        <v>714</v>
      </c>
    </row>
    <row r="10" customFormat="false" ht="15" hidden="false" customHeight="true" outlineLevel="0" collapsed="false">
      <c r="A10" s="73" t="s">
        <v>82</v>
      </c>
      <c r="B10" s="73" t="s">
        <v>712</v>
      </c>
      <c r="C10" s="73" t="s">
        <v>713</v>
      </c>
      <c r="D10" s="73" t="s">
        <v>714</v>
      </c>
    </row>
    <row r="11" customFormat="false" ht="15" hidden="false" customHeight="true" outlineLevel="0" collapsed="false">
      <c r="A11" s="73" t="s">
        <v>85</v>
      </c>
      <c r="B11" s="73" t="s">
        <v>712</v>
      </c>
      <c r="C11" s="73" t="s">
        <v>713</v>
      </c>
      <c r="D11" s="73" t="s">
        <v>716</v>
      </c>
    </row>
    <row r="12" customFormat="false" ht="15" hidden="false" customHeight="true" outlineLevel="0" collapsed="false">
      <c r="A12" s="73" t="s">
        <v>88</v>
      </c>
      <c r="B12" s="73" t="s">
        <v>712</v>
      </c>
      <c r="C12" s="73" t="s">
        <v>482</v>
      </c>
      <c r="D12" s="73" t="s">
        <v>717</v>
      </c>
    </row>
    <row r="13" customFormat="false" ht="15" hidden="false" customHeight="true" outlineLevel="0" collapsed="false">
      <c r="A13" s="73" t="s">
        <v>91</v>
      </c>
      <c r="B13" s="73" t="s">
        <v>712</v>
      </c>
      <c r="C13" s="73" t="s">
        <v>713</v>
      </c>
      <c r="D13" s="73" t="s">
        <v>718</v>
      </c>
    </row>
    <row r="14" customFormat="false" ht="15" hidden="false" customHeight="true" outlineLevel="0" collapsed="false">
      <c r="A14" s="73" t="s">
        <v>94</v>
      </c>
      <c r="B14" s="73" t="s">
        <v>712</v>
      </c>
      <c r="C14" s="73" t="s">
        <v>713</v>
      </c>
      <c r="D14" s="73" t="s">
        <v>716</v>
      </c>
    </row>
    <row r="15" customFormat="false" ht="15" hidden="false" customHeight="true" outlineLevel="0" collapsed="false">
      <c r="A15" s="73" t="s">
        <v>97</v>
      </c>
      <c r="B15" s="73" t="s">
        <v>712</v>
      </c>
      <c r="C15" s="73" t="s">
        <v>713</v>
      </c>
      <c r="D15" s="73" t="s">
        <v>716</v>
      </c>
    </row>
    <row r="16" customFormat="false" ht="15" hidden="false" customHeight="true" outlineLevel="0" collapsed="false">
      <c r="A16" s="73" t="s">
        <v>100</v>
      </c>
      <c r="B16" s="73" t="s">
        <v>712</v>
      </c>
      <c r="C16" s="73" t="s">
        <v>713</v>
      </c>
      <c r="D16" s="73" t="s">
        <v>719</v>
      </c>
    </row>
    <row r="17" customFormat="false" ht="15" hidden="false" customHeight="true" outlineLevel="0" collapsed="false">
      <c r="A17" s="73" t="s">
        <v>103</v>
      </c>
      <c r="B17" s="73" t="s">
        <v>712</v>
      </c>
      <c r="C17" s="73" t="s">
        <v>713</v>
      </c>
      <c r="D17" s="73" t="s">
        <v>716</v>
      </c>
    </row>
    <row r="18" customFormat="false" ht="15" hidden="false" customHeight="true" outlineLevel="0" collapsed="false">
      <c r="A18" s="73" t="s">
        <v>106</v>
      </c>
      <c r="B18" s="73" t="s">
        <v>712</v>
      </c>
      <c r="C18" s="73" t="s">
        <v>713</v>
      </c>
      <c r="D18" s="73" t="s">
        <v>720</v>
      </c>
    </row>
    <row r="19" customFormat="false" ht="15" hidden="false" customHeight="true" outlineLevel="0" collapsed="false">
      <c r="A19" s="73" t="s">
        <v>109</v>
      </c>
      <c r="B19" s="73" t="s">
        <v>712</v>
      </c>
      <c r="C19" s="73" t="s">
        <v>713</v>
      </c>
      <c r="D19" s="73" t="s">
        <v>720</v>
      </c>
    </row>
    <row r="20" customFormat="false" ht="15" hidden="false" customHeight="true" outlineLevel="0" collapsed="false">
      <c r="A20" s="73" t="s">
        <v>112</v>
      </c>
      <c r="B20" s="73" t="s">
        <v>712</v>
      </c>
      <c r="C20" s="73" t="s">
        <v>713</v>
      </c>
      <c r="D20" s="73" t="s">
        <v>720</v>
      </c>
    </row>
    <row r="21" customFormat="false" ht="15" hidden="false" customHeight="true" outlineLevel="0" collapsed="false">
      <c r="A21" s="73" t="s">
        <v>115</v>
      </c>
      <c r="B21" s="73" t="s">
        <v>712</v>
      </c>
      <c r="C21" s="73" t="s">
        <v>713</v>
      </c>
      <c r="D21" s="73" t="s">
        <v>720</v>
      </c>
    </row>
    <row r="22" customFormat="false" ht="15" hidden="false" customHeight="true" outlineLevel="0" collapsed="false">
      <c r="A22" s="73" t="s">
        <v>118</v>
      </c>
      <c r="B22" s="73" t="s">
        <v>712</v>
      </c>
      <c r="C22" s="73" t="s">
        <v>713</v>
      </c>
      <c r="D22" s="73" t="s">
        <v>720</v>
      </c>
    </row>
    <row r="23" customFormat="false" ht="15" hidden="false" customHeight="true" outlineLevel="0" collapsed="false">
      <c r="A23" s="73" t="s">
        <v>121</v>
      </c>
      <c r="B23" s="73" t="s">
        <v>712</v>
      </c>
      <c r="C23" s="73" t="s">
        <v>713</v>
      </c>
      <c r="D23" s="73" t="s">
        <v>720</v>
      </c>
    </row>
    <row r="24" customFormat="false" ht="15" hidden="false" customHeight="true" outlineLevel="0" collapsed="false">
      <c r="A24" s="73" t="s">
        <v>124</v>
      </c>
      <c r="B24" s="73" t="s">
        <v>712</v>
      </c>
      <c r="C24" s="73" t="s">
        <v>713</v>
      </c>
      <c r="D24" s="73" t="s">
        <v>718</v>
      </c>
    </row>
    <row r="25" customFormat="false" ht="15" hidden="false" customHeight="true" outlineLevel="0" collapsed="false">
      <c r="A25" s="73" t="s">
        <v>127</v>
      </c>
      <c r="B25" s="73" t="s">
        <v>712</v>
      </c>
      <c r="C25" s="73" t="s">
        <v>713</v>
      </c>
      <c r="D25" s="73" t="s">
        <v>718</v>
      </c>
    </row>
    <row r="26" customFormat="false" ht="15" hidden="false" customHeight="true" outlineLevel="0" collapsed="false">
      <c r="A26" s="73" t="s">
        <v>130</v>
      </c>
      <c r="B26" s="73" t="s">
        <v>712</v>
      </c>
      <c r="C26" s="73" t="s">
        <v>713</v>
      </c>
      <c r="D26" s="73" t="s">
        <v>718</v>
      </c>
    </row>
    <row r="27" customFormat="false" ht="15" hidden="false" customHeight="true" outlineLevel="0" collapsed="false">
      <c r="A27" s="73" t="s">
        <v>133</v>
      </c>
      <c r="B27" s="73" t="s">
        <v>712</v>
      </c>
      <c r="C27" s="73" t="s">
        <v>713</v>
      </c>
      <c r="D27" s="73" t="s">
        <v>718</v>
      </c>
    </row>
    <row r="28" customFormat="false" ht="15" hidden="false" customHeight="true" outlineLevel="0" collapsed="false">
      <c r="A28" s="73" t="s">
        <v>136</v>
      </c>
      <c r="B28" s="73" t="s">
        <v>712</v>
      </c>
      <c r="C28" s="73" t="s">
        <v>713</v>
      </c>
      <c r="D28" s="73" t="s">
        <v>716</v>
      </c>
    </row>
    <row r="29" customFormat="false" ht="15" hidden="false" customHeight="true" outlineLevel="0" collapsed="false">
      <c r="A29" s="73" t="s">
        <v>139</v>
      </c>
      <c r="B29" s="73" t="s">
        <v>712</v>
      </c>
      <c r="C29" s="73" t="s">
        <v>713</v>
      </c>
      <c r="D29" s="73" t="s">
        <v>716</v>
      </c>
    </row>
    <row r="30" customFormat="false" ht="15" hidden="false" customHeight="true" outlineLevel="0" collapsed="false">
      <c r="A30" s="73" t="s">
        <v>142</v>
      </c>
      <c r="B30" s="73" t="s">
        <v>712</v>
      </c>
      <c r="C30" s="73" t="s">
        <v>713</v>
      </c>
      <c r="D30" s="73" t="s">
        <v>716</v>
      </c>
    </row>
    <row r="31" customFormat="false" ht="15" hidden="false" customHeight="true" outlineLevel="0" collapsed="false">
      <c r="A31" s="73" t="s">
        <v>145</v>
      </c>
      <c r="B31" s="73" t="s">
        <v>712</v>
      </c>
      <c r="C31" s="73" t="s">
        <v>713</v>
      </c>
      <c r="D31" s="73" t="s">
        <v>716</v>
      </c>
    </row>
    <row r="32" customFormat="false" ht="15" hidden="false" customHeight="true" outlineLevel="0" collapsed="false">
      <c r="A32" s="73" t="s">
        <v>148</v>
      </c>
      <c r="B32" s="73" t="s">
        <v>712</v>
      </c>
      <c r="C32" s="73" t="s">
        <v>713</v>
      </c>
      <c r="D32" s="73" t="s">
        <v>716</v>
      </c>
    </row>
    <row r="33" customFormat="false" ht="15" hidden="false" customHeight="true" outlineLevel="0" collapsed="false">
      <c r="A33" s="73" t="s">
        <v>151</v>
      </c>
      <c r="B33" s="73" t="s">
        <v>712</v>
      </c>
      <c r="C33" s="73" t="s">
        <v>713</v>
      </c>
      <c r="D33" s="73" t="s">
        <v>716</v>
      </c>
    </row>
    <row r="34" customFormat="false" ht="15" hidden="false" customHeight="true" outlineLevel="0" collapsed="false">
      <c r="A34" s="73" t="s">
        <v>154</v>
      </c>
      <c r="B34" s="73" t="s">
        <v>712</v>
      </c>
      <c r="C34" s="73" t="s">
        <v>713</v>
      </c>
      <c r="D34" s="73" t="s">
        <v>721</v>
      </c>
    </row>
    <row r="35" customFormat="false" ht="15" hidden="false" customHeight="true" outlineLevel="0" collapsed="false">
      <c r="A35" s="73" t="s">
        <v>157</v>
      </c>
      <c r="B35" s="73" t="s">
        <v>712</v>
      </c>
      <c r="C35" s="73" t="s">
        <v>713</v>
      </c>
      <c r="D35" s="73" t="s">
        <v>721</v>
      </c>
    </row>
    <row r="36" customFormat="false" ht="15" hidden="false" customHeight="true" outlineLevel="0" collapsed="false">
      <c r="A36" s="73" t="s">
        <v>160</v>
      </c>
      <c r="B36" s="73" t="s">
        <v>712</v>
      </c>
      <c r="C36" s="73" t="s">
        <v>713</v>
      </c>
      <c r="D36" s="73" t="s">
        <v>721</v>
      </c>
    </row>
    <row r="37" customFormat="false" ht="15" hidden="false" customHeight="true" outlineLevel="0" collapsed="false">
      <c r="A37" s="73" t="s">
        <v>163</v>
      </c>
      <c r="B37" s="73" t="s">
        <v>712</v>
      </c>
      <c r="C37" s="73" t="s">
        <v>713</v>
      </c>
      <c r="D37" s="73" t="s">
        <v>721</v>
      </c>
    </row>
    <row r="38" customFormat="false" ht="15" hidden="false" customHeight="true" outlineLevel="0" collapsed="false">
      <c r="A38" s="73" t="s">
        <v>166</v>
      </c>
      <c r="B38" s="73" t="s">
        <v>712</v>
      </c>
      <c r="C38" s="73" t="s">
        <v>713</v>
      </c>
      <c r="D38" s="73" t="s">
        <v>721</v>
      </c>
    </row>
    <row r="39" customFormat="false" ht="15" hidden="false" customHeight="true" outlineLevel="0" collapsed="false">
      <c r="A39" s="73" t="s">
        <v>169</v>
      </c>
      <c r="B39" s="73" t="s">
        <v>712</v>
      </c>
      <c r="C39" s="73" t="s">
        <v>713</v>
      </c>
      <c r="D39" s="73" t="s">
        <v>722</v>
      </c>
    </row>
    <row r="40" customFormat="false" ht="15" hidden="false" customHeight="true" outlineLevel="0" collapsed="false">
      <c r="A40" s="73" t="s">
        <v>172</v>
      </c>
      <c r="B40" s="73" t="s">
        <v>712</v>
      </c>
      <c r="C40" s="73" t="s">
        <v>713</v>
      </c>
      <c r="D40" s="73" t="s">
        <v>722</v>
      </c>
    </row>
    <row r="41" customFormat="false" ht="15" hidden="false" customHeight="true" outlineLevel="0" collapsed="false">
      <c r="A41" s="73" t="s">
        <v>175</v>
      </c>
      <c r="B41" s="73" t="s">
        <v>712</v>
      </c>
      <c r="C41" s="73" t="s">
        <v>713</v>
      </c>
      <c r="D41" s="73" t="s">
        <v>722</v>
      </c>
    </row>
    <row r="42" customFormat="false" ht="15" hidden="false" customHeight="true" outlineLevel="0" collapsed="false">
      <c r="A42" s="73" t="s">
        <v>178</v>
      </c>
      <c r="B42" s="73" t="s">
        <v>712</v>
      </c>
      <c r="C42" s="73" t="s">
        <v>713</v>
      </c>
      <c r="D42" s="73" t="s">
        <v>722</v>
      </c>
    </row>
    <row r="43" customFormat="false" ht="15" hidden="false" customHeight="true" outlineLevel="0" collapsed="false">
      <c r="A43" s="73" t="s">
        <v>181</v>
      </c>
      <c r="B43" s="73" t="s">
        <v>712</v>
      </c>
      <c r="C43" s="73" t="s">
        <v>482</v>
      </c>
      <c r="D43" s="73" t="s">
        <v>723</v>
      </c>
    </row>
    <row r="44" customFormat="false" ht="15" hidden="false" customHeight="true" outlineLevel="0" collapsed="false">
      <c r="A44" s="73" t="s">
        <v>184</v>
      </c>
      <c r="B44" s="73" t="s">
        <v>712</v>
      </c>
      <c r="C44" s="73" t="s">
        <v>713</v>
      </c>
      <c r="D44" s="73" t="s">
        <v>724</v>
      </c>
    </row>
    <row r="45" customFormat="false" ht="15" hidden="false" customHeight="true" outlineLevel="0" collapsed="false">
      <c r="A45" s="73" t="s">
        <v>187</v>
      </c>
      <c r="B45" s="73" t="s">
        <v>712</v>
      </c>
      <c r="C45" s="73" t="s">
        <v>713</v>
      </c>
      <c r="D45" s="73" t="s">
        <v>724</v>
      </c>
    </row>
    <row r="46" customFormat="false" ht="15" hidden="false" customHeight="true" outlineLevel="0" collapsed="false">
      <c r="A46" s="73" t="s">
        <v>190</v>
      </c>
      <c r="B46" s="73" t="s">
        <v>712</v>
      </c>
      <c r="C46" s="73" t="s">
        <v>713</v>
      </c>
      <c r="D46" s="73" t="s">
        <v>724</v>
      </c>
    </row>
    <row r="47" customFormat="false" ht="15" hidden="false" customHeight="true" outlineLevel="0" collapsed="false">
      <c r="A47" s="73" t="s">
        <v>193</v>
      </c>
      <c r="B47" s="73" t="s">
        <v>712</v>
      </c>
      <c r="C47" s="73" t="s">
        <v>713</v>
      </c>
      <c r="D47" s="73" t="s">
        <v>724</v>
      </c>
    </row>
    <row r="48" customFormat="false" ht="15" hidden="false" customHeight="true" outlineLevel="0" collapsed="false">
      <c r="A48" s="73" t="s">
        <v>196</v>
      </c>
      <c r="B48" s="73" t="s">
        <v>712</v>
      </c>
      <c r="C48" s="73" t="s">
        <v>713</v>
      </c>
      <c r="D48" s="73" t="s">
        <v>724</v>
      </c>
    </row>
    <row r="49" customFormat="false" ht="15" hidden="false" customHeight="true" outlineLevel="0" collapsed="false">
      <c r="A49" s="73" t="s">
        <v>199</v>
      </c>
      <c r="B49" s="73" t="s">
        <v>712</v>
      </c>
      <c r="C49" s="73" t="s">
        <v>713</v>
      </c>
      <c r="D49" s="73" t="s">
        <v>724</v>
      </c>
    </row>
    <row r="50" customFormat="false" ht="15" hidden="false" customHeight="true" outlineLevel="0" collapsed="false">
      <c r="A50" s="73" t="s">
        <v>202</v>
      </c>
      <c r="B50" s="73" t="s">
        <v>712</v>
      </c>
      <c r="C50" s="73" t="s">
        <v>713</v>
      </c>
      <c r="D50" s="73" t="s">
        <v>724</v>
      </c>
    </row>
    <row r="52" customFormat="false" ht="15" hidden="false" customHeight="true" outlineLevel="0" collapsed="false">
      <c r="A52" s="49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2026-06-12T05:27:12Z</dcterms:created>
  <dc:creator>openpyxl</dc:creator>
  <dc:description/>
  <dc:language>en-US</dc:language>
  <cp:lastModifiedBy/>
  <dcterms:modified xsi:type="dcterms:W3CDTF">2026-07-06T13:46:02Z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